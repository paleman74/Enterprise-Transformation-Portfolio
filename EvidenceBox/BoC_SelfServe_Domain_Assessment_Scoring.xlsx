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temp\dependencies analysis\"/>
    </mc:Choice>
  </mc:AlternateContent>
  <xr:revisionPtr revIDLastSave="0" documentId="8_{0F221F5B-06CE-4969-B012-4C92AEDAA922}" xr6:coauthVersionLast="47" xr6:coauthVersionMax="47" xr10:uidLastSave="{00000000-0000-0000-0000-000000000000}"/>
  <bookViews>
    <workbookView xWindow="-60" yWindow="-16320" windowWidth="29040" windowHeight="15720" activeTab="1" xr2:uid="{00000000-000D-0000-FFFF-FFFF00000000}"/>
  </bookViews>
  <sheets>
    <sheet name="Instructions" sheetId="3" r:id="rId1"/>
    <sheet name="Assessment" sheetId="1" r:id="rId2"/>
    <sheet name="Code" sheetId="4" state="hidden" r:id="rId3"/>
    <sheet name="Results" sheetId="2" r:id="rId4"/>
  </sheets>
  <definedNames>
    <definedName name="CapSust">Code!#REF!</definedName>
    <definedName name="Collab">Code!#REF!</definedName>
    <definedName name="DataProd">Code!#REF!</definedName>
    <definedName name="DataQ">Code!#REF!</definedName>
    <definedName name="DocmA">Code!#REF!</definedName>
    <definedName name="DocumA">Code!#REF!</definedName>
    <definedName name="DomOwn">Code!#REF!</definedName>
    <definedName name="GovPol">Code!#REF!</definedName>
    <definedName name="OpModel">Code!#REF!</definedName>
    <definedName name="RL_label">Code!$L$3:$L$5</definedName>
    <definedName name="TechSk">Code!#REF!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 a="1"/>
  <c r="C5" i="2" s="1"/>
  <c r="B1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3" i="4"/>
  <c r="D14" i="4"/>
  <c r="D15" i="4"/>
  <c r="D16" i="4"/>
  <c r="D17" i="4"/>
  <c r="B23" i="4"/>
  <c r="D21" i="4"/>
  <c r="D22" i="4"/>
  <c r="B18" i="4"/>
  <c r="B10" i="4"/>
  <c r="B7" i="4"/>
  <c r="D6" i="4"/>
  <c r="B3" i="4"/>
  <c r="D10" i="4"/>
  <c r="G7" i="2" s="1"/>
  <c r="D11" i="4"/>
  <c r="D12" i="4"/>
  <c r="D13" i="4"/>
  <c r="G8" i="2" s="1"/>
  <c r="D18" i="4"/>
  <c r="D19" i="4"/>
  <c r="G9" i="2" s="1"/>
  <c r="D20" i="4"/>
  <c r="D23" i="4"/>
  <c r="G10" i="2" s="1"/>
  <c r="D24" i="4"/>
  <c r="D25" i="4"/>
  <c r="D4" i="4"/>
  <c r="D5" i="4"/>
  <c r="D7" i="4"/>
  <c r="G6" i="2" s="1"/>
  <c r="D8" i="4"/>
  <c r="D9" i="4"/>
  <c r="D3" i="4"/>
  <c r="L4" i="4"/>
  <c r="L5" i="4"/>
  <c r="L3" i="4"/>
  <c r="B5" i="2" l="1" a="1"/>
  <c r="B5" i="2" s="1"/>
  <c r="G5" i="2"/>
  <c r="E12" i="4"/>
  <c r="E9" i="4"/>
  <c r="E25" i="4"/>
  <c r="E17" i="4"/>
  <c r="E22" i="4"/>
  <c r="E6" i="4"/>
  <c r="D5" i="2" s="1" a="1"/>
  <c r="D5" i="2" s="1"/>
  <c r="H6" i="4" l="1"/>
  <c r="G6" i="4"/>
  <c r="H22" i="4"/>
  <c r="G22" i="4"/>
  <c r="H17" i="4"/>
  <c r="G17" i="4"/>
  <c r="H25" i="4"/>
  <c r="G25" i="4"/>
  <c r="H9" i="4"/>
  <c r="G9" i="4"/>
  <c r="H12" i="4"/>
  <c r="G12" i="4"/>
  <c r="E5" i="2" l="1" a="1"/>
  <c r="E5" i="2" s="1"/>
  <c r="F5" i="2" a="1"/>
  <c r="F5" i="2" s="1"/>
  <c r="G26" i="4"/>
  <c r="E12" i="2" s="1"/>
  <c r="C1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<sst xmlns="http://schemas.openxmlformats.org/spreadsheetml/2006/main" count="151" uniqueCount="124">
  <si>
    <t>Dimension</t>
  </si>
  <si>
    <t>Domain Ownership &amp; Accountability</t>
  </si>
  <si>
    <t>Governance, Policies &amp; Compliance</t>
  </si>
  <si>
    <t>Data Product Management Capability</t>
  </si>
  <si>
    <t>Technical Skill Readiness</t>
  </si>
  <si>
    <t>Collaboration &amp; Federated Governance</t>
  </si>
  <si>
    <t>Weight</t>
  </si>
  <si>
    <t>Average Score</t>
  </si>
  <si>
    <t>Weighted Score</t>
  </si>
  <si>
    <t>OVERALL SCORE</t>
  </si>
  <si>
    <t>Classification</t>
  </si>
  <si>
    <t>Purpose of This Assessment</t>
  </si>
  <si>
    <t>This assessment helps a Business Unit (BU) evaluate whether it is ready to operate as a Self-Serve Data Domain within the organization’s Data Mesh architecture. Self-Serve Data Domains assume end-to-end responsibility for the data they own and the data products they produce. This requires maturity across governance, technical capability, processes, and organizational readiness.</t>
  </si>
  <si>
    <t>The assessment ensures that:</t>
  </si>
  <si>
    <t>- Business Units understand their obligations as data product owners.</t>
  </si>
  <si>
    <t>- Domains are sufficiently skilled to operate with autonomy.</t>
  </si>
  <si>
    <t>- Risks related to privacy, compliance, quality, and supportability are mitigated.</t>
  </si>
  <si>
    <t>- The Enablement Team can determine the right operating model (self-serve, hybrid, or managed).</t>
  </si>
  <si>
    <t>How to Use This Assessment</t>
  </si>
  <si>
    <t>The BU should complete the questionnaire collaboratively with the people who will participate in the domain’s operation (e.g., product owners, data stewards, technical leads, analysts).</t>
  </si>
  <si>
    <t>The Excel file automatically calculates:</t>
  </si>
  <si>
    <t>Readiness Dimensions</t>
  </si>
  <si>
    <t>Each dimension represents a core Data Mesh requirement:</t>
  </si>
  <si>
    <t>2. Governance, Policies &amp; Compliance – Capability to apply classification, privacy, retention, and maintain metadata/lineage.</t>
  </si>
  <si>
    <t>3. Data Product Management – Readiness to define, design, build, maintain, and retire data products.</t>
  </si>
  <si>
    <t>4. Technical Skill Readiness – Proficiency in Microsoft Fabric, OneLake, pipelines, transformations, permissions, and DevOps.</t>
  </si>
  <si>
    <t>5. Operating Model &amp; Processes – Existence of backlog management, incident handling, and change communication.</t>
  </si>
  <si>
    <t>9. Collaboration &amp; Federated Governance – Ability to work within shared governance, resolve boundaries, and participate in federated decision-making.</t>
  </si>
  <si>
    <t>After scoring, the assessment places the BU in one of three models:</t>
  </si>
  <si>
    <t>Next Steps After Completing the Assessment</t>
  </si>
  <si>
    <t>1. Review gaps and bottlenecks identified.</t>
  </si>
  <si>
    <t>2. Meet with the Fabric Enablement Team to review results.</t>
  </si>
  <si>
    <t>3. Develop a capability uplift plan (training, staffing, processes).</t>
  </si>
  <si>
    <t>4. Reassess periodically as the domain evolves.</t>
  </si>
  <si>
    <t>Readiness Score</t>
  </si>
  <si>
    <t>High</t>
  </si>
  <si>
    <t>Medium</t>
  </si>
  <si>
    <t>Low</t>
  </si>
  <si>
    <t>Score</t>
  </si>
  <si>
    <t>Label</t>
  </si>
  <si>
    <t>Readiness Level</t>
  </si>
  <si>
    <t>High - 3</t>
  </si>
  <si>
    <t>High - 4</t>
  </si>
  <si>
    <t>High - 5</t>
  </si>
  <si>
    <t>Medium - 2</t>
  </si>
  <si>
    <t>Low - 1</t>
  </si>
  <si>
    <t>Weighted Value</t>
  </si>
  <si>
    <t>Critical indicators (if any critical capability scores = 1).</t>
  </si>
  <si>
    <t>Average score per domain dimension.</t>
  </si>
  <si>
    <t>Weighted readiness score based on criticality.</t>
  </si>
  <si>
    <t>An overall maturity score.</t>
  </si>
  <si>
    <t>A readiness classification (Green, Yellow, Red).</t>
  </si>
  <si>
    <t>Critical Flag</t>
  </si>
  <si>
    <t>Score Level</t>
  </si>
  <si>
    <t>The BU is ready or can be ready to apply governance policies (classification, privacy, retention) on the data assset under their control</t>
  </si>
  <si>
    <t>The BU’s admin team is composed of multiple Domain/Workspace Admins for continuity</t>
  </si>
  <si>
    <t>The BU is prepared to own SLAs, including service quality, uptime expectations, and consumer commitments</t>
  </si>
  <si>
    <t>The BU does understand its responsibility for data access control, lifecycle, documentation, and compliance</t>
  </si>
  <si>
    <t>The BU has identified Domain Owner and Data Steward roles, for the data assets used or intended to be used in the analytics process</t>
  </si>
  <si>
    <t>The BU understand and acknoledge the BoC governance roles</t>
  </si>
  <si>
    <t>The BU have a process to review and approve access to data and data products based on data owner or steward guidance?</t>
  </si>
  <si>
    <t>The BU clearly define data product boundaries, purpose, and intended consumers</t>
  </si>
  <si>
    <r>
      <t xml:space="preserve">The BU manage the full </t>
    </r>
    <r>
      <rPr>
        <b/>
        <sz val="11"/>
        <color theme="1"/>
        <rFont val="Calibri"/>
        <family val="2"/>
        <scheme val="minor"/>
      </rPr>
      <t>data product lifecycle</t>
    </r>
    <r>
      <rPr>
        <sz val="11"/>
        <color theme="1"/>
        <rFont val="Calibri"/>
        <family val="2"/>
        <scheme val="minor"/>
      </rPr>
      <t xml:space="preserve"> (creation → maintenance → certification → retirement)</t>
    </r>
  </si>
  <si>
    <t>The BU can host, maintain and promote trusted datasets among other BU Self-serve Domains to reduce duplication</t>
  </si>
  <si>
    <r>
      <t xml:space="preserve">The BU have skills in </t>
    </r>
    <r>
      <rPr>
        <b/>
        <sz val="11"/>
        <color theme="1"/>
        <rFont val="Calibri"/>
        <family val="2"/>
        <scheme val="minor"/>
      </rPr>
      <t>Fabric Workspaces, Lakehouses, Pipelines, and OneLake</t>
    </r>
  </si>
  <si>
    <r>
      <t xml:space="preserve">The BU build and maintain </t>
    </r>
    <r>
      <rPr>
        <b/>
        <sz val="11"/>
        <color theme="1"/>
        <rFont val="Calibri"/>
        <family val="2"/>
        <scheme val="minor"/>
      </rPr>
      <t>ingestion, transformation, and ELT/ETL pipelines</t>
    </r>
  </si>
  <si>
    <r>
      <t xml:space="preserve">The BU understand and manage One Security for </t>
    </r>
    <r>
      <rPr>
        <b/>
        <sz val="11"/>
        <color theme="1"/>
        <rFont val="Calibri"/>
        <family val="2"/>
        <scheme val="minor"/>
      </rPr>
      <t>permissions, artifacts, workspace roles practices</t>
    </r>
  </si>
  <si>
    <t>The BU ensure code and notebooks are stored in the appropriate DevOps source control</t>
  </si>
  <si>
    <r>
      <t xml:space="preserve">The BU have experience handling </t>
    </r>
    <r>
      <rPr>
        <b/>
        <sz val="11"/>
        <color theme="1"/>
        <rFont val="Calibri"/>
        <family val="2"/>
        <scheme val="minor"/>
      </rPr>
      <t>complex data volumes, transformations, and AI-related workloads</t>
    </r>
  </si>
  <si>
    <r>
      <t xml:space="preserve">The BU has a defined internal process for </t>
    </r>
    <r>
      <rPr>
        <b/>
        <sz val="11"/>
        <color theme="1"/>
        <rFont val="Calibri"/>
        <family val="2"/>
        <scheme val="minor"/>
      </rPr>
      <t>incident, problem, and escalation management</t>
    </r>
  </si>
  <si>
    <r>
      <t xml:space="preserve">The BU has a structured process for </t>
    </r>
    <r>
      <rPr>
        <b/>
        <sz val="11"/>
        <color theme="1"/>
        <rFont val="Calibri"/>
        <family val="2"/>
        <scheme val="minor"/>
      </rPr>
      <t>change management, release communication, and consumer notifications</t>
    </r>
  </si>
  <si>
    <t>The BU can operate without depending on BoC Fabric Enablement Team for day-to-day tasks</t>
  </si>
  <si>
    <t>The BU team members have time officially allocated to domain responsibilities</t>
  </si>
  <si>
    <t>The BU have a plan for maintaining critical data elements and operational resiliency</t>
  </si>
  <si>
    <r>
      <t xml:space="preserve">The BU can collaborate effectively with the </t>
    </r>
    <r>
      <rPr>
        <b/>
        <sz val="11"/>
        <color theme="1"/>
        <rFont val="Calibri"/>
        <family val="2"/>
        <scheme val="minor"/>
      </rPr>
      <t>Fabric Enablement Team and other Self-serve Domain administrators</t>
    </r>
  </si>
  <si>
    <r>
      <t xml:space="preserve">The BU can actively participate in </t>
    </r>
    <r>
      <rPr>
        <b/>
        <sz val="11"/>
        <color theme="1"/>
        <rFont val="Calibri"/>
        <family val="2"/>
        <scheme val="minor"/>
      </rPr>
      <t>federated governance forums</t>
    </r>
    <r>
      <rPr>
        <sz val="11"/>
        <color theme="1"/>
        <rFont val="Calibri"/>
        <family val="2"/>
        <scheme val="minor"/>
      </rPr>
      <t>, reviews, and decision-making processes</t>
    </r>
  </si>
  <si>
    <t>The BU is prepared to adopt and comply with updated governance guidance as the platform evolves</t>
  </si>
  <si>
    <t>AVERAGE</t>
  </si>
  <si>
    <t>Overall Score</t>
  </si>
  <si>
    <t xml:space="preserve"> – Ability to identify roles (Owner, Steward) and uphold full lifecycle responsibilities.</t>
  </si>
  <si>
    <t>– Capability to apply classification, privacy, retention, and maintain metadata/lineage</t>
  </si>
  <si>
    <t>– Readiness to define, design, build, maintain, and retire data products.</t>
  </si>
  <si>
    <t xml:space="preserve"> – Proficiency in MS Fabric, OneLake, pipelines, transformations, permissions, and DevOps.</t>
  </si>
  <si>
    <r>
      <t>Operating Model &amp; Processes</t>
    </r>
    <r>
      <rPr>
        <sz val="10"/>
        <color theme="1"/>
        <rFont val="Calibri"/>
        <family val="2"/>
        <scheme val="minor"/>
      </rPr>
      <t>.</t>
    </r>
  </si>
  <si>
    <t>– Existence of backlog management, incident handling, and change communication</t>
  </si>
  <si>
    <t xml:space="preserve"> – Ability to work within shared governance, resolve boundaries, and participate in federated decision-making.</t>
  </si>
  <si>
    <t>Purpose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</si>
  <si>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</si>
  <si>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</si>
  <si>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</si>
  <si>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</si>
  <si>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</si>
  <si>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</si>
  <si>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</si>
  <si>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</si>
  <si>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</si>
  <si>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</si>
  <si>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</si>
  <si>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</si>
  <si>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</si>
  <si>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</si>
  <si>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</si>
  <si>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</si>
  <si>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</si>
  <si>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</si>
  <si>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</si>
  <si>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</si>
  <si>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</si>
  <si>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</si>
  <si>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</si>
  <si>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Q-ID</t>
  </si>
  <si>
    <t>Self-serve Domain readiness Assessment Final Results</t>
  </si>
  <si>
    <r>
      <rPr>
        <sz val="11"/>
        <color rgb="FFFF0000"/>
        <rFont val="Calibri"/>
        <family val="2"/>
        <scheme val="minor"/>
      </rPr>
      <t>3. RED</t>
    </r>
    <r>
      <rPr>
        <sz val="11"/>
        <color theme="1"/>
        <rFont val="Calibri"/>
        <family val="2"/>
        <scheme val="minor"/>
      </rPr>
      <t xml:space="preserve"> – </t>
    </r>
    <r>
      <rPr>
        <b/>
        <sz val="11"/>
        <color theme="1"/>
        <rFont val="Calibri"/>
        <family val="2"/>
        <scheme val="minor"/>
      </rPr>
      <t>Not Ready to own a Self-served Domain</t>
    </r>
    <r>
      <rPr>
        <sz val="11"/>
        <color theme="1"/>
        <rFont val="Calibri"/>
        <family val="2"/>
        <scheme val="minor"/>
      </rPr>
      <t>: The Business Unit cannot safely or sustainably operate as a self-serve domain. The Business Unit must relies on existing proffesional Data teams for developing the necessary data products. The Business Unit can get data from a Self-serve Domain in Fabric and produce BI solutions as a Business-led self-serve process</t>
    </r>
  </si>
  <si>
    <r>
      <rPr>
        <sz val="11"/>
        <color rgb="FFFFC000"/>
        <rFont val="Calibri"/>
        <family val="2"/>
        <scheme val="minor"/>
      </rPr>
      <t>2. YELLOW</t>
    </r>
    <r>
      <rPr>
        <sz val="11"/>
        <color theme="1"/>
        <rFont val="Calibri"/>
        <family val="2"/>
        <scheme val="minor"/>
      </rPr>
      <t xml:space="preserve"> – Needs Enablement Partnering: Capabilities exist but inconsistently. The BU will temporarily operate under a Hybrid Model, sharing responsibilities with the Enablement Team.</t>
    </r>
  </si>
  <si>
    <r>
      <rPr>
        <sz val="11"/>
        <color rgb="FF00B050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50"/>
        <rFont val="Calibri"/>
        <family val="2"/>
        <scheme val="minor"/>
      </rPr>
      <t>GREEN</t>
    </r>
    <r>
      <rPr>
        <sz val="11"/>
        <color theme="1"/>
        <rFont val="Calibri"/>
        <family val="2"/>
        <scheme val="minor"/>
      </rPr>
      <t xml:space="preserve"> – Ready for Self-Serve Domain: The BU is capable, mature, and accountable. Only periodic oversight by the Enablement Team is required.</t>
    </r>
  </si>
  <si>
    <t>Self-Serve Data Domain Readiness Assessment – Instructions</t>
  </si>
  <si>
    <t>For each question, assign a score from 1 to 3, where:</t>
  </si>
  <si>
    <t>1 = Low (Not ready ) readiness level for the capability described</t>
  </si>
  <si>
    <t>2 = Medium ( Partial Ready) readiness level for the capability described</t>
  </si>
  <si>
    <t>3 = High ( Fully Ready) readiness level for the capability described</t>
  </si>
  <si>
    <t>1. Domain Ownership &amp; Accountability – Ability to identify roles (Owner, Steward) and uphold full lifecycle responsibilities</t>
  </si>
  <si>
    <t>Readiness Classification - FINAL result</t>
  </si>
  <si>
    <t>Questions</t>
  </si>
  <si>
    <t>Self-Serve Data Domain Readiness Assessment – Questionnaire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</si>
</sst>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wrapText="1"/>
    </xf>
    <xf numFmtId="0" fontId="6" fillId="0" borderId="0" xfId="0" applyFont="1"/>
    <xf numFmtId="0" fontId="0" fillId="0" borderId="0" xfId="0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left"/>
    </xf>
    <xf numFmtId="2" fontId="6" fillId="3" borderId="0" xfId="0" applyNumberFormat="1" applyFont="1" applyFill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2" fontId="6" fillId="3" borderId="14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6" fillId="3" borderId="12" xfId="0" applyFont="1" applyFill="1" applyBorder="1"/>
    <xf numFmtId="0" fontId="1" fillId="0" borderId="11" xfId="0" applyFont="1" applyBorder="1"/>
    <xf numFmtId="0" fontId="1" fillId="0" borderId="13" xfId="0" applyFont="1" applyBorder="1"/>
    <xf numFmtId="0" fontId="7" fillId="6" borderId="5" xfId="0" applyFont="1" applyFill="1" applyBorder="1" applyAlignment="1">
      <alignment vertical="center" wrapText="1"/>
    </xf>
    <xf numFmtId="0" fontId="7" fillId="6" borderId="14" xfId="0" applyFont="1" applyFill="1" applyBorder="1" applyAlignment="1">
      <alignment vertical="center"/>
    </xf>
    <xf numFmtId="0" fontId="7" fillId="6" borderId="16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1" xfId="0" applyBorder="1"/>
    <xf numFmtId="0" fontId="0" fillId="0" borderId="17" xfId="0" applyBorder="1"/>
    <xf numFmtId="0" fontId="7" fillId="6" borderId="14" xfId="0" applyFont="1" applyFill="1" applyBorder="1" applyAlignment="1">
      <alignment vertical="center" wrapText="1"/>
    </xf>
    <xf numFmtId="0" fontId="0" fillId="0" borderId="6" xfId="0" applyBorder="1"/>
    <xf numFmtId="0" fontId="4" fillId="0" borderId="0" xfId="0" applyFont="1" applyAlignment="1">
      <alignment horizontal="center" vertical="center"/>
    </xf>
    <xf numFmtId="0" fontId="7" fillId="6" borderId="16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3" borderId="12" xfId="0" applyFont="1" applyFill="1" applyBorder="1" applyAlignment="1">
      <alignment horizontal="left" vertical="center"/>
    </xf>
    <xf numFmtId="2" fontId="1" fillId="0" borderId="6" xfId="0" applyNumberFormat="1" applyFont="1" applyBorder="1" applyAlignment="1">
      <alignment horizontal="center"/>
    </xf>
    <xf numFmtId="2" fontId="1" fillId="0" borderId="6" xfId="0" applyNumberFormat="1" applyFont="1" applyBorder="1"/>
    <xf numFmtId="2" fontId="1" fillId="0" borderId="7" xfId="0" applyNumberFormat="1" applyFont="1" applyBorder="1"/>
    <xf numFmtId="0" fontId="0" fillId="0" borderId="16" xfId="0" applyBorder="1"/>
    <xf numFmtId="0" fontId="0" fillId="0" borderId="18" xfId="0" applyBorder="1"/>
    <xf numFmtId="2" fontId="6" fillId="0" borderId="0" xfId="0" applyNumberFormat="1" applyFont="1" applyAlignment="1">
      <alignment horizontal="center"/>
    </xf>
    <xf numFmtId="2" fontId="6" fillId="5" borderId="0" xfId="0" applyNumberFormat="1" applyFont="1" applyFill="1" applyAlignment="1">
      <alignment horizontal="center"/>
    </xf>
    <xf numFmtId="0" fontId="0" fillId="5" borderId="17" xfId="0" applyFill="1" applyBorder="1"/>
    <xf numFmtId="2" fontId="7" fillId="3" borderId="0" xfId="0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/>
    <xf numFmtId="0" fontId="7" fillId="6" borderId="11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wrapText="1"/>
    </xf>
    <xf numFmtId="0" fontId="15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4" fillId="7" borderId="0" xfId="0" applyFont="1" applyFill="1" applyAlignment="1" applyProtection="1">
      <alignment vertical="center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6" fillId="0" borderId="13" xfId="0" applyFont="1" applyBorder="1" applyAlignment="1" applyProtection="1">
      <alignment horizontal="center"/>
      <protection locked="0"/>
    </xf>
    <xf numFmtId="0" fontId="0" fillId="0" borderId="1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4" fillId="7" borderId="0" xfId="0" applyFont="1" applyFill="1" applyAlignment="1">
      <alignment horizontal="center" vertical="center" wrapText="1"/>
    </xf>
    <xf numFmtId="0" fontId="6" fillId="6" borderId="11" xfId="0" applyFont="1" applyFill="1" applyBorder="1" applyAlignment="1">
      <alignment horizontal="left" vertical="top" wrapText="1"/>
    </xf>
    <xf numFmtId="0" fontId="6" fillId="6" borderId="12" xfId="0" applyFont="1" applyFill="1" applyBorder="1" applyAlignment="1">
      <alignment horizontal="left" vertical="top" wrapText="1"/>
    </xf>
    <xf numFmtId="0" fontId="6" fillId="6" borderId="13" xfId="0" applyFont="1" applyFill="1" applyBorder="1" applyAlignment="1">
      <alignment horizontal="left" vertical="top" wrapText="1"/>
    </xf>
    <xf numFmtId="0" fontId="6" fillId="6" borderId="11" xfId="0" applyFont="1" applyFill="1" applyBorder="1" applyAlignment="1">
      <alignment horizontal="left" vertical="center" wrapText="1"/>
    </xf>
    <xf numFmtId="0" fontId="6" fillId="6" borderId="12" xfId="0" applyFont="1" applyFill="1" applyBorder="1" applyAlignment="1">
      <alignment horizontal="left" vertical="center" wrapText="1"/>
    </xf>
    <xf numFmtId="0" fontId="6" fillId="6" borderId="13" xfId="0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theme="5" tint="0.79998168889431442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mruColors>
      <color rgb="FFE7FAFF"/>
      <color rgb="FFCEF3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Domain Maturity (Average Scores)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864144580680015"/>
          <c:y val="0.21877000189694559"/>
          <c:w val="0.49519112086041223"/>
          <c:h val="0.63899900420919131"/>
        </c:manualLayout>
      </c:layout>
      <c:radarChart>
        <c:radarStyle val="marker"/>
        <c:varyColors val="0"/>
        <c:ser>
          <c:idx val="0"/>
          <c:order val="0"/>
          <c:tx>
            <c:strRef>
              <c:f>Results!$D$4</c:f>
              <c:strCache>
                <c:ptCount val="1"/>
                <c:pt idx="0">
                  <c:v>Average Score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Results!$B$5:$B$10</c:f>
              <c:strCache>
                <c:ptCount val="6"/>
                <c:pt idx="0">
                  <c:v>Domain Ownership &amp; Accountability</c:v>
                </c:pt>
                <c:pt idx="1">
                  <c:v>Governance, Policies &amp; Compliance</c:v>
                </c:pt>
                <c:pt idx="2">
                  <c:v>Data Product Management Capability</c:v>
                </c:pt>
                <c:pt idx="3">
                  <c:v>Technical Skill Readiness</c:v>
                </c:pt>
                <c:pt idx="4">
                  <c:v>Operating Model &amp; Processes.</c:v>
                </c:pt>
                <c:pt idx="5">
                  <c:v>Collaboration &amp; Federated Governance</c:v>
                </c:pt>
              </c:strCache>
            </c:strRef>
          </c:cat>
          <c:val>
            <c:numRef>
              <c:f>Results!$D$5:$D$10</c:f>
              <c:numCache>
                <c:formatCode>0.00</c:formatCode>
                <c:ptCount val="6"/>
                <c:pt idx="0">
                  <c:v>1</c:v>
                </c:pt>
                <c:pt idx="1">
                  <c:v>1.6666666666666667</c:v>
                </c:pt>
                <c:pt idx="2">
                  <c:v>3</c:v>
                </c:pt>
                <c:pt idx="3">
                  <c:v>2.4</c:v>
                </c:pt>
                <c:pt idx="4">
                  <c:v>3.6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6-44C5-AE05-46D68833BBDF}"/>
            </c:ext>
          </c:extLst>
        </c:ser>
        <c:ser>
          <c:idx val="1"/>
          <c:order val="1"/>
          <c:tx>
            <c:strRef>
              <c:f>Results!$E$4</c:f>
              <c:strCache>
                <c:ptCount val="1"/>
                <c:pt idx="0">
                  <c:v>Weighted Score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Results!$B$5:$B$10</c:f>
              <c:strCache>
                <c:ptCount val="6"/>
                <c:pt idx="0">
                  <c:v>Domain Ownership &amp; Accountability</c:v>
                </c:pt>
                <c:pt idx="1">
                  <c:v>Governance, Policies &amp; Compliance</c:v>
                </c:pt>
                <c:pt idx="2">
                  <c:v>Data Product Management Capability</c:v>
                </c:pt>
                <c:pt idx="3">
                  <c:v>Technical Skill Readiness</c:v>
                </c:pt>
                <c:pt idx="4">
                  <c:v>Operating Model &amp; Processes.</c:v>
                </c:pt>
                <c:pt idx="5">
                  <c:v>Collaboration &amp; Federated Governance</c:v>
                </c:pt>
              </c:strCache>
            </c:strRef>
          </c:cat>
          <c:val>
            <c:numRef>
              <c:f>Results!$E$5:$E$10</c:f>
              <c:numCache>
                <c:formatCode>0.00</c:formatCode>
                <c:ptCount val="6"/>
                <c:pt idx="0">
                  <c:v>0.11</c:v>
                </c:pt>
                <c:pt idx="1">
                  <c:v>0.18333333333333335</c:v>
                </c:pt>
                <c:pt idx="2">
                  <c:v>0.33</c:v>
                </c:pt>
                <c:pt idx="3">
                  <c:v>0.26400000000000001</c:v>
                </c:pt>
                <c:pt idx="4">
                  <c:v>0.39600000000000002</c:v>
                </c:pt>
                <c:pt idx="5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26-44C5-AE05-46D68833B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7FAFF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266700</xdr:colOff>
      <xdr:row>2</xdr:row>
      <xdr:rowOff>400049</xdr:rowOff>
    </xdr:from>
    <xdr:ext cx="6108700" cy="47339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46"/>
  <sheetViews>
    <sheetView showGridLines="0" topLeftCell="A5" zoomScale="85" zoomScaleNormal="85" workbookViewId="0">
      <selection activeCell="A14" sqref="A14"/>
    </sheetView>
  </sheetViews>
  <sheetFormatPr defaultRowHeight="14.5"/>
  <cols>
    <col min="1" max="1" width="167" customWidth="1"/>
  </cols>
  <sheetData>
    <row r="2" spans="1:1" ht="28.5">
      <c r="A2" s="56" t="s">
        <v>115</v>
      </c>
    </row>
    <row r="3" spans="1:1">
      <c r="A3" s="1"/>
    </row>
    <row r="4" spans="1:1">
      <c r="A4" s="16" t="s">
        <v>11</v>
      </c>
    </row>
    <row r="5" spans="1:1" ht="29">
      <c r="A5" s="1" t="s">
        <v>12</v>
      </c>
    </row>
    <row r="6" spans="1:1">
      <c r="A6" s="1"/>
    </row>
    <row r="7" spans="1:1">
      <c r="A7" s="16" t="s">
        <v>13</v>
      </c>
    </row>
    <row r="8" spans="1:1">
      <c r="A8" s="1" t="s">
        <v>14</v>
      </c>
    </row>
    <row r="9" spans="1:1">
      <c r="A9" s="1" t="s">
        <v>15</v>
      </c>
    </row>
    <row r="10" spans="1:1">
      <c r="A10" s="1" t="s">
        <v>16</v>
      </c>
    </row>
    <row r="11" spans="1:1">
      <c r="A11" s="1" t="s">
        <v>17</v>
      </c>
    </row>
    <row r="12" spans="1:1">
      <c r="A12" s="1"/>
    </row>
    <row r="13" spans="1:1">
      <c r="A13" s="16" t="s">
        <v>18</v>
      </c>
    </row>
    <row r="14" spans="1:1" ht="20" customHeight="1">
      <c r="A14" s="1" t="s">
        <v>19</v>
      </c>
    </row>
    <row r="15" spans="1:1">
      <c r="A15" s="1" t="s">
        <v>116</v>
      </c>
    </row>
    <row r="16" spans="1:1">
      <c r="A16" s="1" t="s">
        <v>117</v>
      </c>
    </row>
    <row r="17" spans="1:1">
      <c r="A17" s="1" t="s">
        <v>118</v>
      </c>
    </row>
    <row r="18" spans="1:1">
      <c r="A18" s="1" t="s">
        <v>119</v>
      </c>
    </row>
    <row r="19" spans="1:1">
      <c r="A19" s="1"/>
    </row>
    <row r="20" spans="1:1" ht="17" customHeight="1">
      <c r="A20" s="16" t="s">
        <v>20</v>
      </c>
    </row>
    <row r="21" spans="1:1">
      <c r="A21" s="1" t="s">
        <v>48</v>
      </c>
    </row>
    <row r="22" spans="1:1">
      <c r="A22" s="1" t="s">
        <v>49</v>
      </c>
    </row>
    <row r="23" spans="1:1">
      <c r="A23" s="1" t="s">
        <v>47</v>
      </c>
    </row>
    <row r="24" spans="1:1">
      <c r="A24" s="1" t="s">
        <v>50</v>
      </c>
    </row>
    <row r="25" spans="1:1">
      <c r="A25" s="1" t="s">
        <v>51</v>
      </c>
    </row>
    <row r="26" spans="1:1">
      <c r="A26" s="1"/>
    </row>
    <row r="27" spans="1:1">
      <c r="A27" s="16" t="s">
        <v>21</v>
      </c>
    </row>
    <row r="28" spans="1:1">
      <c r="A28" s="1" t="s">
        <v>22</v>
      </c>
    </row>
    <row r="29" spans="1:1">
      <c r="A29" s="1" t="s">
        <v>120</v>
      </c>
    </row>
    <row r="30" spans="1:1">
      <c r="A30" s="1" t="s">
        <v>23</v>
      </c>
    </row>
    <row r="31" spans="1:1">
      <c r="A31" s="1" t="s">
        <v>24</v>
      </c>
    </row>
    <row r="32" spans="1:1">
      <c r="A32" s="1" t="s">
        <v>25</v>
      </c>
    </row>
    <row r="33" spans="1:6">
      <c r="A33" s="1" t="s">
        <v>26</v>
      </c>
    </row>
    <row r="34" spans="1:6">
      <c r="A34" s="1" t="s">
        <v>27</v>
      </c>
    </row>
    <row r="35" spans="1:6">
      <c r="A35" s="1"/>
    </row>
    <row r="36" spans="1:6">
      <c r="A36" s="16" t="s">
        <v>121</v>
      </c>
    </row>
    <row r="37" spans="1:6">
      <c r="A37" s="1" t="s">
        <v>28</v>
      </c>
    </row>
    <row r="38" spans="1:6" ht="35" customHeight="1">
      <c r="A38" s="65" t="s">
        <v>114</v>
      </c>
      <c r="B38" s="66"/>
      <c r="C38" s="66"/>
      <c r="D38" s="66"/>
      <c r="E38" s="66"/>
      <c r="F38" s="66"/>
    </row>
    <row r="39" spans="1:6" ht="30.5" customHeight="1">
      <c r="A39" s="65" t="s">
        <v>113</v>
      </c>
      <c r="B39" s="66"/>
      <c r="C39" s="66"/>
      <c r="D39" s="66"/>
      <c r="E39" s="66"/>
      <c r="F39" s="66"/>
    </row>
    <row r="40" spans="1:6" ht="59" customHeight="1">
      <c r="A40" s="65" t="s">
        <v>112</v>
      </c>
      <c r="B40" s="66"/>
      <c r="C40" s="66"/>
      <c r="D40" s="66"/>
      <c r="E40" s="66"/>
      <c r="F40" s="66"/>
    </row>
    <row r="41" spans="1:6">
      <c r="A41" s="1"/>
    </row>
    <row r="42" spans="1:6">
      <c r="A42" s="16" t="s">
        <v>29</v>
      </c>
    </row>
    <row r="43" spans="1:6">
      <c r="A43" s="1" t="s">
        <v>30</v>
      </c>
    </row>
    <row r="44" spans="1:6">
      <c r="A44" s="1" t="s">
        <v>31</v>
      </c>
    </row>
    <row r="45" spans="1:6">
      <c r="A45" s="1" t="s">
        <v>32</v>
      </c>
    </row>
    <row r="46" spans="1:6">
      <c r="A46" s="1" t="s">
        <v>33</v>
      </c>
    </row>
  </sheetData>
  <sheetProtection algorithmName="SHA-512" hashValue="7aCUB3FfKmgcGsRhhSiuqvaU5UiVm8ebOT9X0R/IsozlTJ1JVR4xTx+92XzILxjY3u4G8soqMfCMKZDCBO9M7w==" saltValue="YSAacjSnY6Bhq6jY4ZGpPQ==" spinCount="100000" sheet="1" objects="1" scenarios="1" selectLockedCells="1" selectUnlockedCells="1"/>
  <mergeCells count="3">
    <mergeCell ref="A38:F38"/>
    <mergeCell ref="A39:F39"/>
    <mergeCell ref="A40:F40"/>
  </mergeCells>
  <pageMargins left="0.75" right="0.75" top="1" bottom="1" header="0.5" footer="0.5"/>
  <headerFooter>
    <oddHeader>&amp;R&amp;"Aptos"&amp;10&amp;K000000 Category/Catégorie: Non-Sensitive/Non-Délicat&amp;1#_x000D_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7"/>
  <sheetViews>
    <sheetView showGridLines="0" tabSelected="1" topLeftCell="A3" zoomScale="70" zoomScaleNormal="70" workbookViewId="0">
      <selection activeCell="F8" sqref="F8"/>
    </sheetView>
  </sheetViews>
  <sheetFormatPr defaultRowHeight="15.5"/>
  <cols>
    <col min="1" max="1" width="3.453125" style="2" customWidth="1"/>
    <col min="2" max="2" width="38.26953125" style="2" bestFit="1" customWidth="1"/>
    <col min="3" max="3" width="32.54296875" style="2" customWidth="1"/>
    <col min="4" max="4" width="6.08984375" style="39" bestFit="1" customWidth="1"/>
    <col min="5" max="5" width="113" style="2" customWidth="1"/>
    <col min="6" max="6" width="12.90625" style="60" customWidth="1"/>
    <col min="7" max="16384" width="8.7265625" style="2"/>
  </cols>
  <sheetData>
    <row r="2" spans="2:6" ht="63.5" customHeight="1">
      <c r="B2" s="67" t="s">
        <v>123</v>
      </c>
      <c r="C2" s="67"/>
      <c r="D2" s="67"/>
      <c r="E2" s="67"/>
      <c r="F2" s="59"/>
    </row>
    <row r="3" spans="2:6" ht="16" thickBot="1"/>
    <row r="4" spans="2:6" ht="37.5" thickBot="1">
      <c r="B4" s="57" t="s">
        <v>0</v>
      </c>
      <c r="C4" s="57" t="s">
        <v>86</v>
      </c>
      <c r="D4" s="58" t="s">
        <v>110</v>
      </c>
      <c r="E4" s="57" t="s">
        <v>122</v>
      </c>
      <c r="F4" s="61" t="s">
        <v>34</v>
      </c>
    </row>
    <row r="5" spans="2:6" ht="15.5" customHeight="1">
      <c r="B5" s="29" t="s">
        <v>1</v>
      </c>
      <c r="C5" s="68" t="s">
        <v>79</v>
      </c>
      <c r="D5" s="53" t="s">
        <v>87</v>
      </c>
      <c r="E5" s="33" t="s">
        <v>58</v>
      </c>
      <c r="F5" s="62" t="s">
        <v>45</v>
      </c>
    </row>
    <row r="6" spans="2:6">
      <c r="B6" s="35"/>
      <c r="C6" s="69"/>
      <c r="D6" s="54" t="s">
        <v>88</v>
      </c>
      <c r="E6" s="9" t="s">
        <v>57</v>
      </c>
      <c r="F6" s="63" t="s">
        <v>45</v>
      </c>
    </row>
    <row r="7" spans="2:6">
      <c r="B7" s="35"/>
      <c r="C7" s="69"/>
      <c r="D7" s="54" t="s">
        <v>89</v>
      </c>
      <c r="E7" s="9" t="s">
        <v>56</v>
      </c>
      <c r="F7" s="63" t="s">
        <v>45</v>
      </c>
    </row>
    <row r="8" spans="2:6" ht="16" thickBot="1">
      <c r="B8" s="38"/>
      <c r="C8" s="70"/>
      <c r="D8" s="54" t="s">
        <v>90</v>
      </c>
      <c r="E8" s="9" t="s">
        <v>55</v>
      </c>
      <c r="F8" s="63" t="s">
        <v>45</v>
      </c>
    </row>
    <row r="9" spans="2:6">
      <c r="B9" s="29" t="s">
        <v>2</v>
      </c>
      <c r="C9" s="68" t="s">
        <v>80</v>
      </c>
      <c r="D9" s="53" t="s">
        <v>91</v>
      </c>
      <c r="E9" s="33" t="s">
        <v>54</v>
      </c>
      <c r="F9" s="62" t="s">
        <v>45</v>
      </c>
    </row>
    <row r="10" spans="2:6">
      <c r="B10" s="30"/>
      <c r="C10" s="69"/>
      <c r="D10" s="54" t="s">
        <v>92</v>
      </c>
      <c r="E10" s="9" t="s">
        <v>59</v>
      </c>
      <c r="F10" s="63" t="s">
        <v>44</v>
      </c>
    </row>
    <row r="11" spans="2:6" ht="16" thickBot="1">
      <c r="B11" s="31"/>
      <c r="C11" s="70"/>
      <c r="D11" s="55" t="s">
        <v>93</v>
      </c>
      <c r="E11" s="10" t="s">
        <v>60</v>
      </c>
      <c r="F11" s="64" t="s">
        <v>44</v>
      </c>
    </row>
    <row r="12" spans="2:6">
      <c r="B12" s="29" t="s">
        <v>3</v>
      </c>
      <c r="C12" s="71" t="s">
        <v>81</v>
      </c>
      <c r="D12" s="53" t="s">
        <v>94</v>
      </c>
      <c r="E12" s="33" t="s">
        <v>61</v>
      </c>
      <c r="F12" s="62" t="s">
        <v>41</v>
      </c>
    </row>
    <row r="13" spans="2:6">
      <c r="B13" s="30"/>
      <c r="C13" s="72"/>
      <c r="D13" s="54" t="s">
        <v>95</v>
      </c>
      <c r="E13" s="9" t="s">
        <v>62</v>
      </c>
      <c r="F13" s="63" t="s">
        <v>41</v>
      </c>
    </row>
    <row r="14" spans="2:6" ht="16" thickBot="1">
      <c r="B14" s="31"/>
      <c r="C14" s="73"/>
      <c r="D14" s="55" t="s">
        <v>96</v>
      </c>
      <c r="E14" s="10" t="s">
        <v>63</v>
      </c>
      <c r="F14" s="64" t="s">
        <v>41</v>
      </c>
    </row>
    <row r="15" spans="2:6" ht="15.5" customHeight="1">
      <c r="B15" s="29" t="s">
        <v>4</v>
      </c>
      <c r="C15" s="68" t="s">
        <v>82</v>
      </c>
      <c r="D15" s="53" t="s">
        <v>97</v>
      </c>
      <c r="E15" s="33" t="s">
        <v>64</v>
      </c>
      <c r="F15" s="62" t="s">
        <v>41</v>
      </c>
    </row>
    <row r="16" spans="2:6">
      <c r="B16" s="35"/>
      <c r="C16" s="69"/>
      <c r="D16" s="54" t="s">
        <v>98</v>
      </c>
      <c r="E16" s="9" t="s">
        <v>65</v>
      </c>
      <c r="F16" s="63" t="s">
        <v>41</v>
      </c>
    </row>
    <row r="17" spans="2:6">
      <c r="B17" s="35"/>
      <c r="C17" s="69"/>
      <c r="D17" s="54" t="s">
        <v>99</v>
      </c>
      <c r="E17" s="9" t="s">
        <v>66</v>
      </c>
      <c r="F17" s="63" t="s">
        <v>44</v>
      </c>
    </row>
    <row r="18" spans="2:6">
      <c r="B18" s="35"/>
      <c r="C18" s="69"/>
      <c r="D18" s="54" t="s">
        <v>100</v>
      </c>
      <c r="E18" s="9" t="s">
        <v>67</v>
      </c>
      <c r="F18" s="63" t="s">
        <v>44</v>
      </c>
    </row>
    <row r="19" spans="2:6" ht="16" thickBot="1">
      <c r="B19" s="38"/>
      <c r="C19" s="70"/>
      <c r="D19" s="55" t="s">
        <v>101</v>
      </c>
      <c r="E19" s="10" t="s">
        <v>68</v>
      </c>
      <c r="F19" s="64" t="s">
        <v>44</v>
      </c>
    </row>
    <row r="20" spans="2:6" ht="15.5" customHeight="1">
      <c r="B20" s="29" t="s">
        <v>83</v>
      </c>
      <c r="C20" s="68" t="s">
        <v>84</v>
      </c>
      <c r="D20" s="53" t="s">
        <v>102</v>
      </c>
      <c r="E20" s="33" t="s">
        <v>69</v>
      </c>
      <c r="F20" s="63" t="s">
        <v>41</v>
      </c>
    </row>
    <row r="21" spans="2:6">
      <c r="B21" s="35"/>
      <c r="C21" s="69"/>
      <c r="D21" s="54" t="s">
        <v>103</v>
      </c>
      <c r="E21" s="9" t="s">
        <v>70</v>
      </c>
      <c r="F21" s="63" t="s">
        <v>41</v>
      </c>
    </row>
    <row r="22" spans="2:6">
      <c r="B22" s="35"/>
      <c r="C22" s="69"/>
      <c r="D22" s="54" t="s">
        <v>104</v>
      </c>
      <c r="E22" s="9" t="s">
        <v>71</v>
      </c>
      <c r="F22" s="63" t="s">
        <v>41</v>
      </c>
    </row>
    <row r="23" spans="2:6">
      <c r="B23" s="35"/>
      <c r="C23" s="69"/>
      <c r="D23" s="54" t="s">
        <v>105</v>
      </c>
      <c r="E23" s="9" t="s">
        <v>72</v>
      </c>
      <c r="F23" s="63" t="s">
        <v>42</v>
      </c>
    </row>
    <row r="24" spans="2:6" ht="16" thickBot="1">
      <c r="B24" s="38"/>
      <c r="C24" s="70"/>
      <c r="D24" s="55" t="s">
        <v>106</v>
      </c>
      <c r="E24" s="10" t="s">
        <v>73</v>
      </c>
      <c r="F24" s="63" t="s">
        <v>43</v>
      </c>
    </row>
    <row r="25" spans="2:6">
      <c r="B25" s="35" t="s">
        <v>5</v>
      </c>
      <c r="C25" s="68" t="s">
        <v>85</v>
      </c>
      <c r="D25" s="54" t="s">
        <v>107</v>
      </c>
      <c r="E25" s="9" t="s">
        <v>74</v>
      </c>
      <c r="F25" s="62" t="s">
        <v>41</v>
      </c>
    </row>
    <row r="26" spans="2:6">
      <c r="B26" s="30"/>
      <c r="C26" s="69"/>
      <c r="D26" s="54" t="s">
        <v>108</v>
      </c>
      <c r="E26" s="9" t="s">
        <v>75</v>
      </c>
      <c r="F26" s="63" t="s">
        <v>41</v>
      </c>
    </row>
    <row r="27" spans="2:6" ht="16" thickBot="1">
      <c r="B27" s="31"/>
      <c r="C27" s="70"/>
      <c r="D27" s="55" t="s">
        <v>109</v>
      </c>
      <c r="E27" s="10" t="s">
        <v>76</v>
      </c>
      <c r="F27" s="64" t="s">
        <v>41</v>
      </c>
    </row>
  </sheetData>
  <sheetProtection algorithmName="SHA-512" hashValue="kHBX1h01U7wl8W9flV173rNX7BG2ZBwEY5sd4HafMo/3I05/SVEBem0INSBC3FgMbUz/M7rvhAGeUDXhlKqmUw==" saltValue="CkImR/raFDVgYD/9eMc6Nw==" spinCount="100000" sheet="1" objects="1" scenarios="1" selectLockedCells="1"/>
  <mergeCells count="7">
    <mergeCell ref="C20:C24"/>
    <mergeCell ref="C25:C27"/>
    <mergeCell ref="B2:E2"/>
    <mergeCell ref="C5:C8"/>
    <mergeCell ref="C9:C11"/>
    <mergeCell ref="C12:C14"/>
    <mergeCell ref="C15:C19"/>
  </mergeCells>
  <phoneticPr fontId="9" type="noConversion"/>
  <dataValidations count="1">
    <dataValidation type="list" allowBlank="1" showInputMessage="1" showErrorMessage="1" sqref="F5:F27" xr:uid="{9536CFFD-648D-4B1D-9BCE-9F1F0FAC7273}">
      <formula1>RL_label</formula1>
    </dataValidation>
  </dataValidations>
  <pageMargins left="0.75" right="0.75" top="1" bottom="1" header="0.5" footer="0.5"/>
  <headerFooter>
    <oddHeader>&amp;R&amp;"Aptos"&amp;10&amp;K000000 Category/Catégorie: Non-Sensitive/Non-Délicat&amp;1#_x000D_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1A36-453A-4FB4-A6CA-5EB68E7818F1}">
  <dimension ref="A1:L26"/>
  <sheetViews>
    <sheetView workbookViewId="0">
      <selection activeCell="D25" sqref="D25"/>
    </sheetView>
  </sheetViews>
  <sheetFormatPr defaultRowHeight="14.5"/>
  <cols>
    <col min="1" max="1" width="6.26953125" customWidth="1"/>
    <col min="2" max="2" width="37.1796875" style="11" customWidth="1"/>
    <col min="3" max="3" width="13.08984375" style="3" bestFit="1" customWidth="1"/>
    <col min="4" max="8" width="12.90625" style="3" customWidth="1"/>
    <col min="9" max="9" width="15.90625" style="3" customWidth="1"/>
    <col min="10" max="10" width="14.54296875" customWidth="1"/>
    <col min="11" max="11" width="37.1796875" customWidth="1"/>
    <col min="12" max="12" width="13.26953125" customWidth="1"/>
    <col min="13" max="13" width="17.26953125" customWidth="1"/>
  </cols>
  <sheetData>
    <row r="1" spans="1:12" ht="15" thickBot="1"/>
    <row r="2" spans="1:12" ht="35" customHeight="1" thickBot="1">
      <c r="B2" s="23" t="s">
        <v>0</v>
      </c>
      <c r="C2" s="23" t="s">
        <v>110</v>
      </c>
      <c r="D2" s="24" t="s">
        <v>34</v>
      </c>
      <c r="E2" s="24" t="s">
        <v>77</v>
      </c>
      <c r="F2" s="24" t="s">
        <v>6</v>
      </c>
      <c r="G2" s="24" t="s">
        <v>46</v>
      </c>
      <c r="H2" s="24" t="s">
        <v>39</v>
      </c>
      <c r="J2" s="5" t="s">
        <v>38</v>
      </c>
      <c r="K2" s="4" t="s">
        <v>40</v>
      </c>
      <c r="L2" s="5" t="s">
        <v>39</v>
      </c>
    </row>
    <row r="3" spans="1:12" ht="15" customHeight="1">
      <c r="A3">
        <v>1</v>
      </c>
      <c r="B3" s="40" t="str">
        <f>Assessment!B5</f>
        <v>Domain Ownership &amp; Accountability</v>
      </c>
      <c r="C3" t="str">
        <f>Assessment!D5</f>
        <v>Q1</v>
      </c>
      <c r="D3" s="3">
        <f>ABS(RIGHT(Assessment!F5,1))</f>
        <v>1</v>
      </c>
      <c r="J3" s="6">
        <v>3</v>
      </c>
      <c r="K3" s="17" t="s">
        <v>35</v>
      </c>
      <c r="L3" s="18" t="str">
        <f>CONCATENATE(K3," - ",J3)</f>
        <v>High - 3</v>
      </c>
    </row>
    <row r="4" spans="1:12" ht="15.5" customHeight="1">
      <c r="B4" s="40"/>
      <c r="C4" t="str">
        <f>Assessment!D6</f>
        <v>Q2</v>
      </c>
      <c r="D4" s="3">
        <f>ABS(RIGHT(Assessment!F6,1))</f>
        <v>1</v>
      </c>
      <c r="J4" s="7">
        <v>2</v>
      </c>
      <c r="K4" s="19" t="s">
        <v>36</v>
      </c>
      <c r="L4" s="18" t="str">
        <f>CONCATENATE(K4," - ",J4)</f>
        <v>Medium - 2</v>
      </c>
    </row>
    <row r="5" spans="1:12" ht="16" customHeight="1" thickBot="1">
      <c r="B5" s="40"/>
      <c r="C5" t="str">
        <f>Assessment!D7</f>
        <v>Q3</v>
      </c>
      <c r="D5" s="3">
        <f>ABS(RIGHT(Assessment!F7,1))</f>
        <v>1</v>
      </c>
      <c r="J5" s="8">
        <v>1</v>
      </c>
      <c r="K5" s="20" t="s">
        <v>37</v>
      </c>
      <c r="L5" s="21" t="str">
        <f>CONCATENATE(K5," - ",J5)</f>
        <v>Low - 1</v>
      </c>
    </row>
    <row r="6" spans="1:12" ht="16" customHeight="1">
      <c r="B6" s="40"/>
      <c r="C6" t="str">
        <f>Assessment!D8</f>
        <v>Q4</v>
      </c>
      <c r="D6" s="3">
        <f>ABS(RIGHT(Assessment!F8,1))</f>
        <v>1</v>
      </c>
      <c r="E6" s="37">
        <f>AVERAGE(D3:D6)</f>
        <v>1</v>
      </c>
      <c r="F6" s="37">
        <v>0.11</v>
      </c>
      <c r="G6" s="37">
        <f>E6*F6</f>
        <v>0.11</v>
      </c>
      <c r="H6" s="37" t="str">
        <f>VLOOKUP(INT(E6),$J$3:$K$5,2,FALSE)</f>
        <v>Low</v>
      </c>
      <c r="J6" s="3"/>
      <c r="K6" s="32"/>
      <c r="L6" s="32"/>
    </row>
    <row r="7" spans="1:12" ht="14.5" customHeight="1">
      <c r="A7">
        <v>2</v>
      </c>
      <c r="B7" s="40" t="str">
        <f>Assessment!B9</f>
        <v>Governance, Policies &amp; Compliance</v>
      </c>
      <c r="C7" t="str">
        <f>Assessment!D9</f>
        <v>Q5</v>
      </c>
      <c r="D7" s="3">
        <f>ABS(RIGHT(Assessment!F9,1))</f>
        <v>1</v>
      </c>
      <c r="E7" s="37"/>
      <c r="F7" s="37"/>
      <c r="G7" s="37"/>
      <c r="H7" s="37"/>
    </row>
    <row r="8" spans="1:12" ht="15.5" customHeight="1">
      <c r="B8" s="40"/>
      <c r="C8" t="str">
        <f>Assessment!D10</f>
        <v>Q6</v>
      </c>
      <c r="D8" s="3">
        <f>ABS(RIGHT(Assessment!F10,1))</f>
        <v>2</v>
      </c>
      <c r="E8" s="37"/>
      <c r="F8" s="37"/>
      <c r="G8" s="37"/>
      <c r="H8" s="37"/>
    </row>
    <row r="9" spans="1:12" ht="15.5" customHeight="1">
      <c r="B9" s="40"/>
      <c r="C9" t="str">
        <f>Assessment!D11</f>
        <v>Q7</v>
      </c>
      <c r="D9" s="3">
        <f>ABS(RIGHT(Assessment!F11,1))</f>
        <v>2</v>
      </c>
      <c r="E9" s="37">
        <f>AVERAGE(D7:D9)</f>
        <v>1.6666666666666667</v>
      </c>
      <c r="F9" s="37">
        <v>0.11</v>
      </c>
      <c r="G9" s="37">
        <f>E9*F9</f>
        <v>0.18333333333333335</v>
      </c>
      <c r="H9" s="37" t="str">
        <f>VLOOKUP(INT(E9),$J$3:$K$5,2,FALSE)</f>
        <v>Low</v>
      </c>
    </row>
    <row r="10" spans="1:12" ht="14.5" customHeight="1">
      <c r="A10">
        <v>3</v>
      </c>
      <c r="B10" s="40" t="str">
        <f>Assessment!B12</f>
        <v>Data Product Management Capability</v>
      </c>
      <c r="C10" t="str">
        <f>Assessment!D12</f>
        <v>Q8</v>
      </c>
      <c r="D10" s="3">
        <f>ABS(RIGHT(Assessment!F12,1))</f>
        <v>3</v>
      </c>
      <c r="E10" s="37"/>
      <c r="F10" s="37"/>
      <c r="G10" s="37"/>
      <c r="H10" s="37"/>
    </row>
    <row r="11" spans="1:12" ht="14.5" customHeight="1">
      <c r="B11" s="40"/>
      <c r="C11" t="str">
        <f>Assessment!D13</f>
        <v>Q9</v>
      </c>
      <c r="D11" s="3">
        <f>ABS(RIGHT(Assessment!F13,1))</f>
        <v>3</v>
      </c>
      <c r="E11" s="37"/>
      <c r="F11" s="37"/>
      <c r="G11" s="37"/>
      <c r="H11" s="37"/>
    </row>
    <row r="12" spans="1:12" ht="15" customHeight="1">
      <c r="B12" s="40"/>
      <c r="C12" t="str">
        <f>Assessment!D14</f>
        <v>Q10</v>
      </c>
      <c r="D12" s="3">
        <f>ABS(RIGHT(Assessment!F14,1))</f>
        <v>3</v>
      </c>
      <c r="E12" s="37">
        <f>AVERAGE(D10:D12)</f>
        <v>3</v>
      </c>
      <c r="F12" s="37">
        <v>0.11</v>
      </c>
      <c r="G12" s="37">
        <f>E12*F12</f>
        <v>0.33</v>
      </c>
      <c r="H12" s="37" t="str">
        <f>VLOOKUP(INT(E12),$J$3:$K$5,2,FALSE)</f>
        <v>High</v>
      </c>
    </row>
    <row r="13" spans="1:12" ht="14.5" customHeight="1">
      <c r="A13">
        <v>4</v>
      </c>
      <c r="B13" s="40" t="str">
        <f>Assessment!B15</f>
        <v>Technical Skill Readiness</v>
      </c>
      <c r="C13" t="str">
        <f>Assessment!D15</f>
        <v>Q11</v>
      </c>
      <c r="D13" s="3">
        <f>ABS(RIGHT(Assessment!F15,1))</f>
        <v>3</v>
      </c>
      <c r="E13" s="37"/>
      <c r="F13" s="37"/>
      <c r="G13" s="37"/>
      <c r="H13" s="37"/>
    </row>
    <row r="14" spans="1:12" ht="14.5" customHeight="1">
      <c r="B14" s="40"/>
      <c r="C14" t="str">
        <f>Assessment!D16</f>
        <v>Q12</v>
      </c>
      <c r="D14" s="3">
        <f>ABS(RIGHT(Assessment!F16,1))</f>
        <v>3</v>
      </c>
      <c r="E14" s="37"/>
      <c r="F14" s="37"/>
      <c r="G14" s="37"/>
      <c r="H14" s="37"/>
    </row>
    <row r="15" spans="1:12" ht="14.5" customHeight="1">
      <c r="B15" s="40"/>
      <c r="C15" t="str">
        <f>Assessment!D17</f>
        <v>Q13</v>
      </c>
      <c r="D15" s="3">
        <f>ABS(RIGHT(Assessment!F17,1))</f>
        <v>2</v>
      </c>
      <c r="E15" s="37"/>
      <c r="F15" s="37"/>
      <c r="G15" s="37"/>
      <c r="H15" s="37"/>
    </row>
    <row r="16" spans="1:12" ht="14.5" customHeight="1">
      <c r="B16" s="40"/>
      <c r="C16" t="str">
        <f>Assessment!D18</f>
        <v>Q14</v>
      </c>
      <c r="D16" s="3">
        <f>ABS(RIGHT(Assessment!F18,1))</f>
        <v>2</v>
      </c>
      <c r="E16" s="37"/>
      <c r="F16" s="37"/>
      <c r="G16" s="37"/>
      <c r="H16" s="37"/>
    </row>
    <row r="17" spans="1:8" ht="14.5" customHeight="1">
      <c r="B17" s="40"/>
      <c r="C17" t="str">
        <f>Assessment!D19</f>
        <v>Q15</v>
      </c>
      <c r="D17" s="3">
        <f>ABS(RIGHT(Assessment!F19,1))</f>
        <v>2</v>
      </c>
      <c r="E17" s="37">
        <f>AVERAGE(D13:D17)</f>
        <v>2.4</v>
      </c>
      <c r="F17" s="37">
        <v>0.11</v>
      </c>
      <c r="G17" s="37">
        <f>E17*F17</f>
        <v>0.26400000000000001</v>
      </c>
      <c r="H17" s="37" t="str">
        <f>VLOOKUP(INT(E17),$J$3:$K$5,2,FALSE)</f>
        <v>Medium</v>
      </c>
    </row>
    <row r="18" spans="1:8" ht="14.5" customHeight="1">
      <c r="A18">
        <v>5</v>
      </c>
      <c r="B18" s="40" t="str">
        <f>Assessment!B20</f>
        <v>Operating Model &amp; Processes.</v>
      </c>
      <c r="C18" t="str">
        <f>Assessment!D20</f>
        <v>Q16</v>
      </c>
      <c r="D18" s="3">
        <f>ABS(RIGHT(Assessment!F20,1))</f>
        <v>3</v>
      </c>
      <c r="E18" s="37"/>
      <c r="F18" s="37"/>
      <c r="G18" s="37"/>
      <c r="H18" s="37"/>
    </row>
    <row r="19" spans="1:8" ht="14.5" customHeight="1">
      <c r="B19" s="40"/>
      <c r="C19" t="str">
        <f>Assessment!D21</f>
        <v>Q17</v>
      </c>
      <c r="D19" s="3">
        <f>ABS(RIGHT(Assessment!F21,1))</f>
        <v>3</v>
      </c>
      <c r="E19" s="37"/>
      <c r="F19" s="37"/>
      <c r="G19" s="37"/>
      <c r="H19" s="37"/>
    </row>
    <row r="20" spans="1:8" ht="14.5" customHeight="1">
      <c r="B20" s="40"/>
      <c r="C20" t="str">
        <f>Assessment!D22</f>
        <v>Q18</v>
      </c>
      <c r="D20" s="3">
        <f>ABS(RIGHT(Assessment!F22,1))</f>
        <v>3</v>
      </c>
      <c r="E20" s="37"/>
      <c r="F20" s="37"/>
      <c r="G20" s="37"/>
      <c r="H20" s="37"/>
    </row>
    <row r="21" spans="1:8" ht="14.5" customHeight="1">
      <c r="B21" s="40"/>
      <c r="C21" t="str">
        <f>Assessment!D23</f>
        <v>Q19</v>
      </c>
      <c r="D21" s="3">
        <f>ABS(RIGHT(Assessment!F23,1))</f>
        <v>4</v>
      </c>
      <c r="E21" s="37"/>
      <c r="F21" s="37"/>
      <c r="G21" s="37"/>
      <c r="H21" s="37"/>
    </row>
    <row r="22" spans="1:8" ht="14.5" customHeight="1">
      <c r="B22" s="40"/>
      <c r="C22" t="str">
        <f>Assessment!D24</f>
        <v>Q20</v>
      </c>
      <c r="D22" s="3">
        <f>ABS(RIGHT(Assessment!F24,1))</f>
        <v>5</v>
      </c>
      <c r="E22" s="37">
        <f>AVERAGE(D18:D22)</f>
        <v>3.6</v>
      </c>
      <c r="F22" s="37">
        <v>0.11</v>
      </c>
      <c r="G22" s="37">
        <f>E22*F22</f>
        <v>0.39600000000000002</v>
      </c>
      <c r="H22" s="37" t="str">
        <f>VLOOKUP(INT(E22),$J$3:$K$5,2,FALSE)</f>
        <v>High</v>
      </c>
    </row>
    <row r="23" spans="1:8" ht="14.5" customHeight="1">
      <c r="A23">
        <v>6</v>
      </c>
      <c r="B23" s="40" t="str">
        <f>Assessment!B25</f>
        <v>Collaboration &amp; Federated Governance</v>
      </c>
      <c r="C23" t="str">
        <f>Assessment!D25</f>
        <v>Q21</v>
      </c>
      <c r="D23" s="3">
        <f>ABS(RIGHT(Assessment!F25,1))</f>
        <v>3</v>
      </c>
      <c r="E23" s="37"/>
      <c r="F23" s="37"/>
      <c r="G23" s="37"/>
      <c r="H23" s="37"/>
    </row>
    <row r="24" spans="1:8" ht="14.5" customHeight="1">
      <c r="B24" s="40"/>
      <c r="C24" t="str">
        <f>Assessment!D26</f>
        <v>Q22</v>
      </c>
      <c r="D24" s="3">
        <f>ABS(RIGHT(Assessment!F26,1))</f>
        <v>3</v>
      </c>
      <c r="E24" s="37"/>
      <c r="F24" s="37"/>
      <c r="G24" s="37"/>
      <c r="H24" s="37"/>
    </row>
    <row r="25" spans="1:8" ht="14.5" customHeight="1">
      <c r="B25" s="40"/>
      <c r="C25" t="str">
        <f>Assessment!D27</f>
        <v>Q23</v>
      </c>
      <c r="D25" s="3">
        <f>ABS(RIGHT(Assessment!F27,1))</f>
        <v>3</v>
      </c>
      <c r="E25" s="37">
        <f>AVERAGE(D23:D25)</f>
        <v>3</v>
      </c>
      <c r="F25" s="37">
        <v>0.11</v>
      </c>
      <c r="G25" s="37">
        <f>E25*F25</f>
        <v>0.33</v>
      </c>
      <c r="H25" s="37" t="str">
        <f>VLOOKUP(INT(E25),$J$3:$K$5,2,FALSE)</f>
        <v>High</v>
      </c>
    </row>
    <row r="26" spans="1:8">
      <c r="D26" s="3" t="s">
        <v>78</v>
      </c>
      <c r="G26" s="37">
        <f>SUM(G3:G25)</f>
        <v>1.6133333333333333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20"/>
  <sheetViews>
    <sheetView showGridLines="0" workbookViewId="0">
      <selection activeCell="B18" sqref="B18:G18"/>
    </sheetView>
  </sheetViews>
  <sheetFormatPr defaultRowHeight="14.5"/>
  <cols>
    <col min="1" max="1" width="7.90625" customWidth="1"/>
    <col min="2" max="2" width="39.36328125" customWidth="1"/>
    <col min="3" max="3" width="7.7265625" bestFit="1" customWidth="1"/>
    <col min="4" max="4" width="12.36328125" customWidth="1"/>
    <col min="5" max="5" width="10.08984375" bestFit="1" customWidth="1"/>
    <col min="6" max="6" width="8.7265625" customWidth="1"/>
    <col min="7" max="7" width="10.81640625" customWidth="1"/>
  </cols>
  <sheetData>
    <row r="1" spans="2:18" ht="23.5" customHeight="1" thickBot="1"/>
    <row r="2" spans="2:18" ht="32" customHeight="1">
      <c r="B2" s="74" t="s">
        <v>111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6"/>
    </row>
    <row r="3" spans="2:18" ht="33" customHeight="1" thickBot="1">
      <c r="B3" s="51"/>
      <c r="R3" s="52"/>
    </row>
    <row r="4" spans="2:18" ht="32" customHeight="1" thickBot="1">
      <c r="B4" s="25" t="s">
        <v>0</v>
      </c>
      <c r="C4" s="14" t="s">
        <v>6</v>
      </c>
      <c r="D4" s="14" t="s">
        <v>7</v>
      </c>
      <c r="E4" s="14" t="s">
        <v>8</v>
      </c>
      <c r="F4" s="14" t="s">
        <v>53</v>
      </c>
      <c r="G4" s="15" t="s">
        <v>52</v>
      </c>
      <c r="R4" s="52"/>
    </row>
    <row r="5" spans="2:18" ht="15.5">
      <c r="B5" s="41" t="str" cm="1">
        <f t="array" ref="B5:B10">_xlfn._xlws.FILTER(Code!B3:B25,Code!B3:B25&lt;&gt;"","")</f>
        <v>Domain Ownership &amp; Accountability</v>
      </c>
      <c r="C5" s="22" cm="1">
        <f t="array" ref="C5:C10">_xlfn._xlws.FILTER(Code!F3:F25,Code!F3:F25&lt;&gt;"","")</f>
        <v>0.11</v>
      </c>
      <c r="D5" s="50" cm="1">
        <f t="array" ref="D5:D10">_xlfn._xlws.FILTER(Code!E3:E25,Code!E3:E25&lt;&gt;"","")</f>
        <v>1</v>
      </c>
      <c r="E5" s="48" cm="1">
        <f t="array" ref="E5:E10">_xlfn._xlws.FILTER(Code!G3:G25,Code!G3:G25&lt;&gt;"","")</f>
        <v>0.11</v>
      </c>
      <c r="F5" s="47" t="str" cm="1">
        <f t="array" ref="F5:F10">_xlfn._xlws.FILTER(Code!H3:H25,Code!H3:H25&lt;&gt;"","")</f>
        <v>Low</v>
      </c>
      <c r="G5" s="13" t="str">
        <f>IF(MIN(Code!D3:'Code'!D6)=1, "YES", "NO")</f>
        <v>YES</v>
      </c>
      <c r="R5" s="52"/>
    </row>
    <row r="6" spans="2:18" ht="15.5">
      <c r="B6" s="26" t="str">
        <v>Governance, Policies &amp; Compliance</v>
      </c>
      <c r="C6" s="22">
        <v>0.11</v>
      </c>
      <c r="D6" s="50">
        <v>1.6666666666666667</v>
      </c>
      <c r="E6" s="48">
        <v>0.18333333333333335</v>
      </c>
      <c r="F6" s="12" t="str">
        <v>Low</v>
      </c>
      <c r="G6" s="13" t="str">
        <f>IF(MIN(Code!D7:'Code'!D9)=1, "YES", "NO")</f>
        <v>YES</v>
      </c>
      <c r="R6" s="52"/>
    </row>
    <row r="7" spans="2:18" ht="15.5">
      <c r="B7" s="26" t="str">
        <v>Data Product Management Capability</v>
      </c>
      <c r="C7" s="22">
        <v>0.11</v>
      </c>
      <c r="D7" s="50">
        <v>3</v>
      </c>
      <c r="E7" s="48">
        <v>0.33</v>
      </c>
      <c r="F7" s="12" t="str">
        <v>High</v>
      </c>
      <c r="G7" s="13" t="str">
        <f>IF(MIN(Code!D10:'Code'!D12)=1, "YES", "NO")</f>
        <v>NO</v>
      </c>
      <c r="R7" s="52"/>
    </row>
    <row r="8" spans="2:18" ht="15.5">
      <c r="B8" s="26" t="str">
        <v>Technical Skill Readiness</v>
      </c>
      <c r="C8" s="22">
        <v>0.11</v>
      </c>
      <c r="D8" s="50">
        <v>2.4</v>
      </c>
      <c r="E8" s="48">
        <v>0.26400000000000001</v>
      </c>
      <c r="F8" s="12" t="str">
        <v>Medium</v>
      </c>
      <c r="G8" s="13" t="str">
        <f>IF(MIN(Code!D13:'Code'!D17)=1, "YES", "NO")</f>
        <v>NO</v>
      </c>
      <c r="R8" s="52"/>
    </row>
    <row r="9" spans="2:18" ht="15.5">
      <c r="B9" s="26" t="str">
        <v>Operating Model &amp; Processes.</v>
      </c>
      <c r="C9" s="22">
        <v>0.11</v>
      </c>
      <c r="D9" s="50">
        <v>3.6</v>
      </c>
      <c r="E9" s="48">
        <v>0.39600000000000002</v>
      </c>
      <c r="F9" s="12" t="str">
        <v>High</v>
      </c>
      <c r="G9" s="13" t="str">
        <f>IF(MIN(Code!D18:'Code'!D22)=1, "YES", "NO")</f>
        <v>NO</v>
      </c>
      <c r="R9" s="52"/>
    </row>
    <row r="10" spans="2:18" ht="15.5">
      <c r="B10" s="26" t="str">
        <v>Collaboration &amp; Federated Governance</v>
      </c>
      <c r="C10" s="22">
        <v>0.11</v>
      </c>
      <c r="D10" s="50">
        <v>3</v>
      </c>
      <c r="E10" s="48">
        <v>0.33</v>
      </c>
      <c r="F10" s="12" t="str">
        <v>High</v>
      </c>
      <c r="G10" s="13" t="str">
        <f>IF(MIN(Code!D23:'Code'!D25)=1, "YES", "NO")</f>
        <v>NO</v>
      </c>
      <c r="R10" s="52"/>
    </row>
    <row r="11" spans="2:18" ht="15" thickBot="1">
      <c r="B11" s="45"/>
      <c r="C11" s="34"/>
      <c r="D11" s="34"/>
      <c r="E11" s="49"/>
      <c r="F11" s="34"/>
      <c r="G11" s="46"/>
      <c r="R11" s="52"/>
    </row>
    <row r="12" spans="2:18">
      <c r="B12" s="27" t="s">
        <v>9</v>
      </c>
      <c r="C12" s="36"/>
      <c r="D12" s="43"/>
      <c r="E12" s="42">
        <f>Code!G26</f>
        <v>1.6133333333333333</v>
      </c>
      <c r="F12" s="43"/>
      <c r="G12" s="44"/>
      <c r="R12" s="52"/>
    </row>
    <row r="13" spans="2:18" ht="15" thickBot="1">
      <c r="B13" s="28" t="s">
        <v>10</v>
      </c>
      <c r="C13" s="77" t="str">
        <f>IF(E12&gt;=2.34,"GREEN - Ready for owning a Self-Serve Domain", IF(E12&gt;=1.67,"YELLOW - Needs Enablement Partnering", "RED - Not Ready to own a Self-served Domain"))</f>
        <v>RED - Not Ready to own a Self-served Domain</v>
      </c>
      <c r="D13" s="77"/>
      <c r="E13" s="77"/>
      <c r="F13" s="77"/>
      <c r="G13" s="78"/>
      <c r="R13" s="52"/>
    </row>
    <row r="14" spans="2:18">
      <c r="B14" s="51"/>
      <c r="R14" s="52"/>
    </row>
    <row r="15" spans="2:18">
      <c r="B15" s="51"/>
      <c r="R15" s="52"/>
    </row>
    <row r="16" spans="2:18" ht="52.5" customHeight="1">
      <c r="B16" s="65" t="s">
        <v>114</v>
      </c>
      <c r="C16" s="66"/>
      <c r="D16" s="66"/>
      <c r="E16" s="66"/>
      <c r="F16" s="66"/>
      <c r="G16" s="66"/>
      <c r="R16" s="52"/>
    </row>
    <row r="17" spans="2:18" ht="52" customHeight="1">
      <c r="B17" s="65" t="s">
        <v>113</v>
      </c>
      <c r="C17" s="66"/>
      <c r="D17" s="66"/>
      <c r="E17" s="66"/>
      <c r="F17" s="66"/>
      <c r="G17" s="66"/>
      <c r="R17" s="52"/>
    </row>
    <row r="18" spans="2:18" ht="77" customHeight="1">
      <c r="B18" s="65" t="s">
        <v>112</v>
      </c>
      <c r="C18" s="66"/>
      <c r="D18" s="66"/>
      <c r="E18" s="66"/>
      <c r="F18" s="66"/>
      <c r="G18" s="66"/>
      <c r="R18" s="52"/>
    </row>
    <row r="19" spans="2:18" ht="17.5" customHeight="1">
      <c r="B19" s="65"/>
      <c r="C19" s="66"/>
      <c r="D19" s="66"/>
      <c r="E19" s="66"/>
      <c r="F19" s="66"/>
      <c r="G19" s="66"/>
      <c r="R19" s="52"/>
    </row>
    <row r="20" spans="2:18" ht="15" thickBot="1">
      <c r="B20" s="45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46"/>
    </row>
  </sheetData>
  <sheetProtection algorithmName="SHA-512" hashValue="jYMp7AygFip4iT9jxxtexbvSEtF/KWYU119EVdD9kNCPUsgS6g69pn55I8y7wJODhnGX9obBB0olPN2qB0ncAA==" saltValue="tOkKOlbNuQqs6qbq2uXbug==" spinCount="100000" sheet="1" objects="1" scenarios="1"/>
  <mergeCells count="6">
    <mergeCell ref="B2:R2"/>
    <mergeCell ref="B19:G19"/>
    <mergeCell ref="C13:G13"/>
    <mergeCell ref="B18:G18"/>
    <mergeCell ref="B17:G17"/>
    <mergeCell ref="B16:G16"/>
  </mergeCells>
  <conditionalFormatting sqref="C13">
    <cfRule type="cellIs" dxfId="6" priority="6" operator="equal">
      <formula>"GREEN - Ready for owning a Self-Serve Domain"</formula>
    </cfRule>
    <cfRule type="cellIs" dxfId="5" priority="7" operator="equal">
      <formula>"YELLOW - Needs Enablement Partnering"</formula>
    </cfRule>
    <cfRule type="cellIs" dxfId="4" priority="8" operator="equal">
      <formula>"RED - Not Ready to own a Self-served Domain"</formula>
    </cfRule>
  </conditionalFormatting>
  <conditionalFormatting sqref="E12">
    <cfRule type="cellIs" dxfId="3" priority="3" operator="greaterThanOrEqual">
      <formula>2.34</formula>
    </cfRule>
    <cfRule type="cellIs" dxfId="2" priority="4" operator="between">
      <formula>1.67</formula>
      <formula>2.33</formula>
    </cfRule>
    <cfRule type="cellIs" dxfId="1" priority="5" operator="lessThan">
      <formula>1.66</formula>
    </cfRule>
  </conditionalFormatting>
  <conditionalFormatting sqref="G5:G10">
    <cfRule type="containsText" dxfId="0" priority="1" operator="containsText" text="YES">
      <formula>NOT(ISERROR(SEARCH("YES",G5)))</formula>
    </cfRule>
  </conditionalFormatting>
  <pageMargins left="0.75" right="0.75" top="1" bottom="1" header="0.5" footer="0.5"/>
  <pageSetup orientation="portrait" r:id="rId1"/>
  <headerFooter>
    <oddHeader>&amp;R&amp;"Aptos"&amp;10&amp;K000000 Category/Catégorie: Non-Sensitive/Non-Délicat&amp;1#_x000D_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35a7de49-b683-4164-88f8-c84c8842f202" ContentTypeId="0x0101005901F9B59A5CFA4EB9EC5AD3049288340D01" PreviousValue="false" LastSyncTimeStamp="2025-03-03T15:30:30.993Z"/>
</file>

<file path=customXml/item3.xml><?xml version="1.0" encoding="utf-8"?>
<?mso-contentType ?>
<spe:Receivers xmlns:spe="http://schemas.microsoft.com/sharepoint/event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ommittees and Working Groups" ma:contentTypeID="0x0101005901F9B59A5CFA4EB9EC5AD3049288340D01009498FECE1A0C9A43A677209483ED7257" ma:contentTypeVersion="11" ma:contentTypeDescription="" ma:contentTypeScope="" ma:versionID="b7afa88ddb913e00cf2d7a486508b347">
  <xsd:schema xmlns:xsd="http://www.w3.org/2001/XMLSchema" xmlns:xs="http://www.w3.org/2001/XMLSchema" xmlns:p="http://schemas.microsoft.com/office/2006/metadata/properties" xmlns:ns2="d5953541-9517-43c8-9aab-99ea89c11ef5" targetNamespace="http://schemas.microsoft.com/office/2006/metadata/properties" ma:root="true" ma:fieldsID="6be825613a1822c48b636ba0a7e8cca9" ns2:_="">
    <xsd:import namespace="d5953541-9517-43c8-9aab-99ea89c11ef5"/>
    <xsd:element name="properties">
      <xsd:complexType>
        <xsd:sequence>
          <xsd:element name="documentManagement">
            <xsd:complexType>
              <xsd:all>
                <xsd:element ref="ns2:Authors"/>
                <xsd:element ref="ns2:BoCAuthoredDate" minOccurs="0"/>
                <xsd:element ref="ns2:_dlc_DocIdUrl" minOccurs="0"/>
                <xsd:element ref="ns2:_dlc_DocIdPersistId" minOccurs="0"/>
                <xsd:element ref="ns2:TaxKeywordTaxHTField" minOccurs="0"/>
                <xsd:element ref="ns2:TaxCatchAll" minOccurs="0"/>
                <xsd:element ref="ns2:TaxCatchAllLabel" minOccurs="0"/>
                <xsd:element ref="ns2:be3b528a564b4945a64223b90478602c" minOccurs="0"/>
                <xsd:element ref="ns2:_dlc_DocId" minOccurs="0"/>
                <xsd:element ref="ns2:k9d7cdd31b904b8aba536c35ddec8688" minOccurs="0"/>
                <xsd:element ref="ns2:m9d75486d71444578492bb31bae880a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53541-9517-43c8-9aab-99ea89c11ef5" elementFormDefault="qualified">
    <xsd:import namespace="http://schemas.microsoft.com/office/2006/documentManagement/types"/>
    <xsd:import namespace="http://schemas.microsoft.com/office/infopath/2007/PartnerControls"/>
    <xsd:element name="Authors" ma:index="2" ma:displayName="Authors" ma:list="UserInfo" ma:SearchPeopleOnly="false" ma:SharePointGroup="0" ma:internalName="Autho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BoCAuthoredDate" ma:index="3" nillable="true" ma:displayName="Authored Date" ma:description="" ma:format="DateTime" ma:internalName="BoCAuthoredDate" ma:readOnly="false">
      <xsd:simpleType>
        <xsd:restriction base="dms:DateTime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KeywordTaxHTField" ma:index="12" nillable="true" ma:taxonomy="true" ma:internalName="TaxKeywordTaxHTField" ma:taxonomyFieldName="TaxKeyword" ma:displayName="Enterprise Keywords" ma:fieldId="{23f27201-bee3-471e-b2e7-b64fd8b7ca38}" ma:taxonomyMulti="true" ma:sspId="35a7de49-b683-4164-88f8-c84c8842f20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8bc9ef35-7fc2-4475-a97a-a0f8b7be308e}" ma:internalName="TaxCatchAll" ma:showField="CatchAllData" ma:web="130fab1d-9651-4c2c-80bf-9fb5561fbd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8bc9ef35-7fc2-4475-a97a-a0f8b7be308e}" ma:internalName="TaxCatchAllLabel" ma:readOnly="true" ma:showField="CatchAllDataLabel" ma:web="130fab1d-9651-4c2c-80bf-9fb5561fbd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e3b528a564b4945a64223b90478602c" ma:index="18" ma:taxonomy="true" ma:internalName="be3b528a564b4945a64223b90478602c" ma:taxonomyFieldName="BoC_x0020_Department" ma:displayName="BoC Department" ma:readOnly="false" ma:default="" ma:fieldId="{be3b528a-564b-4945-a642-23b90478602c}" ma:sspId="35a7de49-b683-4164-88f8-c84c8842f202" ma:termSetId="555367ec-6d1b-4a5a-ad0e-53c6dda8c41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k9d7cdd31b904b8aba536c35ddec8688" ma:index="20" nillable="true" ma:taxonomy="true" ma:internalName="k9d7cdd31b904b8aba536c35ddec8688" ma:taxonomyFieldName="Committee_x0020_or_x0020_Working_x0020_Group" ma:displayName="Committee or Working Group" ma:default="" ma:fieldId="{49d7cdd3-1b90-4b8a-ba53-6c35ddec8688}" ma:sspId="35a7de49-b683-4164-88f8-c84c8842f202" ma:termSetId="148cf60f-b17b-4693-a494-0f5722ef5e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d75486d71444578492bb31bae880ae" ma:index="22" nillable="true" ma:taxonomy="true" ma:internalName="m9d75486d71444578492bb31bae880ae" ma:taxonomyFieldName="Record_x0020_Series" ma:displayName="Record Series" ma:readOnly="false" ma:default="" ma:fieldId="{69d75486-d714-4457-8492-bb31bae880ae}" ma:sspId="35a7de49-b683-4164-88f8-c84c8842f202" ma:termSetId="a7b248f0-33d3-4b64-8144-92575117102c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 ma:index="5" ma:displayName="Comments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hors xmlns="d5953541-9517-43c8-9aab-99ea89c11ef5">
      <UserInfo>
        <DisplayName/>
        <AccountId/>
        <AccountType/>
      </UserInfo>
    </Authors>
    <TaxCatchAll xmlns="d5953541-9517-43c8-9aab-99ea89c11ef5">
      <Value>3</Value>
      <Value>2</Value>
      <Value>1</Value>
    </TaxCatchAll>
    <k9d7cdd31b904b8aba536c35ddec8688 xmlns="d5953541-9517-43c8-9aab-99ea89c11e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and Digital Services - Architecture Group</TermName>
          <TermId xmlns="http://schemas.microsoft.com/office/infopath/2007/PartnerControls">008a3e9a-70ce-41f2-b3e2-fb45c60b458f</TermId>
        </TermInfo>
      </Terms>
    </k9d7cdd31b904b8aba536c35ddec8688>
    <be3b528a564b4945a64223b90478602c xmlns="d5953541-9517-43c8-9aab-99ea89c11e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and Digital Services</TermName>
          <TermId xmlns="http://schemas.microsoft.com/office/infopath/2007/PartnerControls">3ab91e48-033a-4993-aaa4-7689558c64c9</TermId>
        </TermInfo>
      </Terms>
    </be3b528a564b4945a64223b90478602c>
    <TaxKeywordTaxHTField xmlns="d5953541-9517-43c8-9aab-99ea89c11ef5">
      <Terms xmlns="http://schemas.microsoft.com/office/infopath/2007/PartnerControls"/>
    </TaxKeywordTaxHTField>
    <BoCAuthoredDate xmlns="d5953541-9517-43c8-9aab-99ea89c11ef5">2025-11-19T17:00:00+00:00</BoCAuthoredDate>
    <m9d75486d71444578492bb31bae880ae xmlns="d5953541-9517-43c8-9aab-99ea89c11e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IM-110-01 - Information Management Committees</TermName>
          <TermId xmlns="http://schemas.microsoft.com/office/infopath/2007/PartnerControls">49e2658a-6721-40b5-88e6-d7f2bcff699e</TermId>
        </TermInfo>
      </Terms>
    </m9d75486d71444578492bb31bae880ae>
  </documentManagement>
</p:properties>
</file>

<file path=customXml/itemProps1.xml><?xml version="1.0" encoding="utf-8"?>
<ds:datastoreItem xmlns:ds="http://schemas.openxmlformats.org/officeDocument/2006/customXml" ds:itemID="{4AA5DD7B-0F31-4B47-A2CB-B3BE6256CA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DC3FFB-E09C-4AD2-B5F5-29AE1AAFE69D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550A6F0-D982-43F9-AEF8-06124355972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B1CA54D-CEEA-453B-8183-C207BD1F4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953541-9517-43c8-9aab-99ea89c11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6A4E8038-ABF7-432F-B2F4-3A1B5D5BF850}">
  <ds:schemaRefs>
    <ds:schemaRef ds:uri="http://schemas.microsoft.com/office/2006/metadata/properties"/>
    <ds:schemaRef ds:uri="http://schemas.microsoft.com/office/infopath/2007/PartnerControls"/>
    <ds:schemaRef ds:uri="d5953541-9517-43c8-9aab-99ea89c11e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Assessment</vt:lpstr>
      <vt:lpstr>Code</vt:lpstr>
      <vt:lpstr>Results</vt:lpstr>
      <vt:lpstr>RL_label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Aleman</cp:lastModifiedBy>
  <dcterms:created xsi:type="dcterms:W3CDTF">2025-11-14T14:51:26Z</dcterms:created>
  <dcterms:modified xsi:type="dcterms:W3CDTF">2026-10-10T15:48:20Z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bacc78-dcc9-4733-835b-33704aeb5fb9_Enabled">
    <vt:lpwstr>true</vt:lpwstr>
  </property>
  <property fmtid="{D5CDD505-2E9C-101B-9397-08002B2CF9AE}" pid="3" name="MSIP_Label_aebacc78-dcc9-4733-835b-33704aeb5fb9_SetDate">
    <vt:lpwstr>2025-11-14T15:01:40Z</vt:lpwstr>
  </property>
  <property fmtid="{D5CDD505-2E9C-101B-9397-08002B2CF9AE}" pid="4" name="MSIP_Label_aebacc78-dcc9-4733-835b-33704aeb5fb9_Method">
    <vt:lpwstr>Privileged</vt:lpwstr>
  </property>
  <property fmtid="{D5CDD505-2E9C-101B-9397-08002B2CF9AE}" pid="5" name="MSIP_Label_aebacc78-dcc9-4733-835b-33704aeb5fb9_Name">
    <vt:lpwstr>Non-Sensitive - Non-Délicat</vt:lpwstr>
  </property>
  <property fmtid="{D5CDD505-2E9C-101B-9397-08002B2CF9AE}" pid="6" name="MSIP_Label_aebacc78-dcc9-4733-835b-33704aeb5fb9_SiteId">
    <vt:lpwstr>164f988b-a2f4-4584-aeaa-21bd4a0234bc</vt:lpwstr>
  </property>
  <property fmtid="{D5CDD505-2E9C-101B-9397-08002B2CF9AE}" pid="7" name="MSIP_Label_aebacc78-dcc9-4733-835b-33704aeb5fb9_ActionId">
    <vt:lpwstr>f05ca65f-c284-4c03-9478-ed3557d175b1</vt:lpwstr>
  </property>
  <property fmtid="{D5CDD505-2E9C-101B-9397-08002B2CF9AE}" pid="8" name="MSIP_Label_aebacc78-dcc9-4733-835b-33704aeb5fb9_ContentBits">
    <vt:lpwstr>1</vt:lpwstr>
  </property>
  <property fmtid="{D5CDD505-2E9C-101B-9397-08002B2CF9AE}" pid="9" name="MSIP_Label_aebacc78-dcc9-4733-835b-33704aeb5fb9_Tag">
    <vt:lpwstr>10, 0, 1, 1</vt:lpwstr>
  </property>
  <property fmtid="{D5CDD505-2E9C-101B-9397-08002B2CF9AE}" pid="10" name="ContentTypeId">
    <vt:lpwstr>0x0101005901F9B59A5CFA4EB9EC5AD3049288340D01009498FECE1A0C9A43A677209483ED7257</vt:lpwstr>
  </property>
  <property fmtid="{D5CDD505-2E9C-101B-9397-08002B2CF9AE}" pid="11" name="TaxKeyword">
    <vt:lpwstr/>
  </property>
  <property fmtid="{D5CDD505-2E9C-101B-9397-08002B2CF9AE}" pid="12" name="Committee_x0020_or_x0020_Working_x0020_Group">
    <vt:lpwstr>1;#Data and Digital Services - Architecture Group|008a3e9a-70ce-41f2-b3e2-fb45c60b458f</vt:lpwstr>
  </property>
  <property fmtid="{D5CDD505-2E9C-101B-9397-08002B2CF9AE}" pid="13" name="Committee or Working Group">
    <vt:lpwstr>1;#Data and Digital Services - Architecture Group|008a3e9a-70ce-41f2-b3e2-fb45c60b458f</vt:lpwstr>
  </property>
  <property fmtid="{D5CDD505-2E9C-101B-9397-08002B2CF9AE}" pid="14" name="Record Series">
    <vt:lpwstr>2;#IM-110-01 - Information Management Committees|49e2658a-6721-40b5-88e6-d7f2bcff699e</vt:lpwstr>
  </property>
  <property fmtid="{D5CDD505-2E9C-101B-9397-08002B2CF9AE}" pid="15" name="BoC_x0020_Department">
    <vt:lpwstr>3;#Data and Digital Services|3ab91e48-033a-4993-aaa4-7689558c64c9</vt:lpwstr>
  </property>
  <property fmtid="{D5CDD505-2E9C-101B-9397-08002B2CF9AE}" pid="16" name="Record_x0020_Series">
    <vt:lpwstr>2;#IM-110-01 - Information Management Committees|49e2658a-6721-40b5-88e6-d7f2bcff699e</vt:lpwstr>
  </property>
  <property fmtid="{D5CDD505-2E9C-101B-9397-08002B2CF9AE}" pid="17" name="BoC Department">
    <vt:lpwstr>3;#Data and Digital Services|3ab91e48-033a-4993-aaa4-7689558c64c9</vt:lpwstr>
  </property>
</Properties>
</file>
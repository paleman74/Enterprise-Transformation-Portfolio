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bankofcanada-my.sharepoint.com/personal/rodp_bank-banque-canada_ca/Documents/.A_WorkFolder/EA_Projects/BoC Copilot Studio/"/>
    </mc:Choice>
  </mc:AlternateContent>
  <xr:revisionPtr revIDLastSave="987" documentId="8_{DE6A6B07-9A13-41A0-B0EA-14AA1C1B0F15}" xr6:coauthVersionLast="47" xr6:coauthVersionMax="47" xr10:uidLastSave="{CE31DE34-BA20-40A1-ABD5-67873E88A68A}"/>
  <bookViews>
    <workbookView xWindow="-28860" yWindow="-16320" windowWidth="29040" windowHeight="15720" firstSheet="1" activeTab="3" xr2:uid="{00000000-000D-0000-FFFF-FFFF00000000}"/>
  </bookViews>
  <sheets>
    <sheet name="Instructions" sheetId="3" r:id="rId1"/>
    <sheet name="Assessment" sheetId="1" r:id="rId2"/>
    <sheet name="Code(to hide)" sheetId="4" r:id="rId3"/>
    <sheet name="Results" sheetId="2" r:id="rId4"/>
  </sheets>
  <definedNames>
    <definedName name="CapSust">'Code(to hide)'!#REF!</definedName>
    <definedName name="Collab">'Code(to hide)'!#REF!</definedName>
    <definedName name="DataProd">'Code(to hide)'!#REF!</definedName>
    <definedName name="DataQ">'Code(to hide)'!#REF!</definedName>
    <definedName name="DocmA">'Code(to hide)'!#REF!</definedName>
    <definedName name="DocumA">'Code(to hide)'!#REF!</definedName>
    <definedName name="DomOwn">'Code(to hide)'!#REF!</definedName>
    <definedName name="GovPol">'Code(to hide)'!#REF!</definedName>
    <definedName name="OpModel">'Code(to hide)'!#REF!</definedName>
    <definedName name="RL_label">'Code(to hide)'!$O$3:$O$5</definedName>
    <definedName name="TechSk">'Code(to hide)'!#REF!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4" l="1"/>
  <c r="O5" i="4"/>
  <c r="O3" i="4"/>
  <c r="G4" i="4"/>
  <c r="G5" i="4"/>
  <c r="G6" i="4"/>
  <c r="G7" i="4"/>
  <c r="G8" i="4"/>
  <c r="G9" i="4"/>
  <c r="G10" i="4"/>
  <c r="G11" i="4"/>
  <c r="G12" i="4"/>
  <c r="G13" i="4"/>
  <c r="G14" i="4"/>
  <c r="G15" i="4"/>
  <c r="G16" i="4"/>
  <c r="G17" i="4"/>
  <c r="G18" i="4"/>
  <c r="G19" i="4"/>
  <c r="F5" i="4"/>
  <c r="I5" i="4" s="1"/>
  <c r="F6" i="4"/>
  <c r="F7" i="4"/>
  <c r="I7" i="4" s="1"/>
  <c r="F8" i="4"/>
  <c r="I8" i="4" s="1"/>
  <c r="F9" i="4"/>
  <c r="F10" i="4"/>
  <c r="F11" i="4"/>
  <c r="I11" i="4" s="1"/>
  <c r="F12" i="4"/>
  <c r="F13" i="4"/>
  <c r="I13" i="4" s="1"/>
  <c r="F14" i="4"/>
  <c r="I14" i="4" s="1"/>
  <c r="F15" i="4"/>
  <c r="I15" i="4" s="1"/>
  <c r="F16" i="4"/>
  <c r="I16" i="4" s="1"/>
  <c r="F17" i="4"/>
  <c r="I17" i="4" s="1"/>
  <c r="F18" i="4"/>
  <c r="I18" i="4" s="1"/>
  <c r="F19" i="4"/>
  <c r="I19" i="4" s="1"/>
  <c r="F4" i="4"/>
  <c r="F3" i="4"/>
  <c r="I3" i="4" s="1"/>
  <c r="S3" i="4"/>
  <c r="S5" i="4"/>
  <c r="S4" i="4"/>
  <c r="E19" i="4"/>
  <c r="E17" i="4"/>
  <c r="E18" i="4"/>
  <c r="E12" i="4"/>
  <c r="E13" i="4"/>
  <c r="E14" i="4"/>
  <c r="E15" i="4"/>
  <c r="E16" i="4"/>
  <c r="E9" i="4"/>
  <c r="E10" i="4"/>
  <c r="E11" i="4"/>
  <c r="B9" i="4"/>
  <c r="E7" i="4"/>
  <c r="E8" i="4"/>
  <c r="E4" i="4"/>
  <c r="E5" i="4"/>
  <c r="E6" i="4"/>
  <c r="B12" i="4"/>
  <c r="E3" i="4"/>
  <c r="B17" i="4"/>
  <c r="B3" i="4"/>
  <c r="G3" i="4"/>
  <c r="C17" i="4" l="1"/>
  <c r="C12" i="4"/>
  <c r="C9" i="4"/>
  <c r="C3" i="4"/>
  <c r="C20" i="4"/>
  <c r="H10" i="4"/>
  <c r="H9" i="4"/>
  <c r="H6" i="4"/>
  <c r="H4" i="4"/>
  <c r="H8" i="4"/>
  <c r="J8" i="4" s="1"/>
  <c r="I9" i="4"/>
  <c r="H11" i="4"/>
  <c r="J11" i="4" s="1"/>
  <c r="H13" i="4"/>
  <c r="J13" i="4" s="1"/>
  <c r="I10" i="4"/>
  <c r="H17" i="4"/>
  <c r="H19" i="4"/>
  <c r="J19" i="4" s="1"/>
  <c r="H18" i="4"/>
  <c r="J18" i="4" s="1"/>
  <c r="H12" i="4"/>
  <c r="I12" i="4"/>
  <c r="H5" i="4"/>
  <c r="J5" i="4" s="1"/>
  <c r="I6" i="4"/>
  <c r="H3" i="4"/>
  <c r="I4" i="4"/>
  <c r="H7" i="4"/>
  <c r="J7" i="4" s="1"/>
  <c r="H16" i="4"/>
  <c r="J16" i="4" s="1"/>
  <c r="H15" i="4"/>
  <c r="J15" i="4" s="1"/>
  <c r="H14" i="4"/>
  <c r="J14" i="4" s="1"/>
  <c r="B5" i="2" a="1"/>
  <c r="B5" i="2" s="1"/>
  <c r="C5" i="2" l="1" a="1"/>
  <c r="C5" i="2" s="1"/>
  <c r="E6" i="2"/>
  <c r="E7" i="2"/>
  <c r="E8" i="2"/>
  <c r="E5" i="2"/>
  <c r="J17" i="4"/>
  <c r="D17" i="4"/>
  <c r="D9" i="4"/>
  <c r="D3" i="4"/>
  <c r="J12" i="4"/>
  <c r="D12" i="4"/>
  <c r="J6" i="4"/>
  <c r="J9" i="4"/>
  <c r="J3" i="4"/>
  <c r="J10" i="4"/>
  <c r="J4" i="4"/>
  <c r="D5" i="2" l="1" a="1"/>
  <c r="D5" i="2" s="1"/>
  <c r="D10" i="2"/>
  <c r="C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<sst xmlns="http://schemas.openxmlformats.org/spreadsheetml/2006/main" count="157" uniqueCount="120">
  <si>
    <t>Self-Serve Business-led AI Readiness Assessment – Instructions</t>
  </si>
  <si>
    <t>Purpose of This Assessment</t>
  </si>
  <si>
    <t>This assessment helps a Business Unit (BU) evaluate whether it is ready to operate as a Self-Serve Copilot Solution Owner within the organization’s AI and Copilot operating model.
Self-serve Copilot onboarding assumes end-to-end responsibility for the AI solutions and agents a BU designs, deploys, and operates across Dev, UAT, and Production environments. This includes ownership of use-case definition, prompt and agent design, data usage, access control, governance, quality, and ongoing operations.
Readiness therefore requires sufficient maturity across AI governance, technical capability, lifecycle management, operational processes, and organizational accountability to ensure Copilot solutions are safe, compliant, reliable, and sustainable at scale</t>
  </si>
  <si>
    <t>How to Use This Assessment</t>
  </si>
  <si>
    <t>The BU should complete the questionnaire collaboratively with the people who will participate in the AI development process</t>
  </si>
  <si>
    <t>For each question, assign a score from 1 to 3, where:</t>
  </si>
  <si>
    <t>1 = Low (Not ready ) readiness level for the capability described</t>
  </si>
  <si>
    <t>2 = Medium ( Partial Ready) readiness level for the capability described</t>
  </si>
  <si>
    <t>3 = High ( Fully Ready) readiness level for the capability described</t>
  </si>
  <si>
    <t>The Excel file automatically calculates:</t>
  </si>
  <si>
    <t>Average score per domain dimension.</t>
  </si>
  <si>
    <t>Weighted readiness score based on criticality.</t>
  </si>
  <si>
    <t>Critical indicators (if any critical capability scores = 1).</t>
  </si>
  <si>
    <t>An overall maturity score.</t>
  </si>
  <si>
    <t>A readiness classification (Green, Yellow, Red).</t>
  </si>
  <si>
    <t>Readiness Dimensions</t>
  </si>
  <si>
    <t>Each dimension represents a core AI solution requirement:</t>
  </si>
  <si>
    <r>
      <rPr>
        <b/>
        <sz val="11"/>
        <color theme="1"/>
        <rFont val="Calibri"/>
        <family val="2"/>
        <scheme val="minor"/>
      </rPr>
      <t>AI Solution Ownership &amp; Accountability</t>
    </r>
    <r>
      <rPr>
        <sz val="11"/>
        <color theme="1"/>
        <rFont val="Calibri"/>
        <family val="2"/>
        <scheme val="minor"/>
      </rPr>
      <t xml:space="preserve">	– Ability to identify accountable roles and own the full AI solution and agent lifecycle
</t>
    </r>
    <r>
      <rPr>
        <b/>
        <sz val="11"/>
        <color theme="1"/>
        <rFont val="Calibri"/>
        <family val="2"/>
        <scheme val="minor"/>
      </rPr>
      <t>Governance, Risk, Compliance &amp; Responsible AI</t>
    </r>
    <r>
      <rPr>
        <sz val="11"/>
        <color theme="1"/>
        <rFont val="Calibri"/>
        <family val="2"/>
        <scheme val="minor"/>
      </rPr>
      <t xml:space="preserve">	– Capability to apply AI governance, data protection, auditability, and Responsible AI principles.
</t>
    </r>
    <r>
      <rPr>
        <b/>
        <sz val="11"/>
        <color theme="1"/>
        <rFont val="Calibri"/>
        <family val="2"/>
        <scheme val="minor"/>
      </rPr>
      <t>AI Solution &amp; Agent Lifecycle Management</t>
    </r>
    <r>
      <rPr>
        <sz val="11"/>
        <color theme="1"/>
        <rFont val="Calibri"/>
        <family val="2"/>
        <scheme val="minor"/>
      </rPr>
      <t xml:space="preserve">	–Readiness to define, build, test, promote, operate, and retire Copilot solutions and agents.
</t>
    </r>
    <r>
      <rPr>
        <b/>
        <sz val="11"/>
        <color theme="1"/>
        <rFont val="Calibri"/>
        <family val="2"/>
        <scheme val="minor"/>
      </rPr>
      <t>Technical &amp; Platform Readiness (Copilot Studio)</t>
    </r>
    <r>
      <rPr>
        <sz val="11"/>
        <color theme="1"/>
        <rFont val="Calibri"/>
        <family val="2"/>
        <scheme val="minor"/>
      </rPr>
      <t xml:space="preserve">	 – Proficiency in Copilot Studio tooling, integrations, security, and DevOps practices.
</t>
    </r>
    <r>
      <rPr>
        <b/>
        <sz val="11"/>
        <color theme="1"/>
        <rFont val="Calibri"/>
        <family val="2"/>
        <scheme val="minor"/>
      </rPr>
      <t>Operating Model &amp; Run Capability</t>
    </r>
    <r>
      <rPr>
        <sz val="11"/>
        <color theme="1"/>
        <rFont val="Calibri"/>
        <family val="2"/>
        <scheme val="minor"/>
      </rPr>
      <t xml:space="preserve">	– Ability to operate Copilot solutions reliably in production
</t>
    </r>
    <r>
      <rPr>
        <b/>
        <sz val="11"/>
        <color theme="1"/>
        <rFont val="Calibri"/>
        <family val="2"/>
        <scheme val="minor"/>
      </rPr>
      <t>Collaboration &amp; Federated Governance</t>
    </r>
    <r>
      <rPr>
        <sz val="11"/>
        <color theme="1"/>
        <rFont val="Calibri"/>
        <family val="2"/>
        <scheme val="minor"/>
      </rPr>
      <t xml:space="preserve">	 – Ability to work within a shared, federated AI operating model.</t>
    </r>
  </si>
  <si>
    <t>Readiness Classification - FINAL result</t>
  </si>
  <si>
    <t>After scoring, the assessment places the BU in one of three models:</t>
  </si>
  <si>
    <r>
      <rPr>
        <sz val="11"/>
        <color rgb="FF00B050"/>
        <rFont val="Calibri"/>
        <family val="2"/>
        <scheme val="minor"/>
      </rPr>
      <t>1.</t>
    </r>
    <r>
      <rPr>
        <sz val="11"/>
        <color theme="1"/>
        <rFont val="Calibri"/>
        <family val="2"/>
        <scheme val="minor"/>
      </rPr>
      <t xml:space="preserve"> </t>
    </r>
    <r>
      <rPr>
        <sz val="11"/>
        <color rgb="FF00B050"/>
        <rFont val="Calibri"/>
        <family val="2"/>
        <scheme val="minor"/>
      </rPr>
      <t>GREEN</t>
    </r>
    <r>
      <rPr>
        <sz val="11"/>
        <color theme="1"/>
        <rFont val="Calibri"/>
        <family val="2"/>
        <scheme val="minor"/>
      </rPr>
      <t xml:space="preserve"> – Ready for Self-Serve AI: The BU is capable, mature, and accountable. Only periodic oversight by the Enablement Team is required.</t>
    </r>
  </si>
  <si>
    <r>
      <rPr>
        <sz val="11"/>
        <color rgb="FFFFC000"/>
        <rFont val="Calibri"/>
        <family val="2"/>
        <scheme val="minor"/>
      </rPr>
      <t>2. YELLOW</t>
    </r>
    <r>
      <rPr>
        <sz val="11"/>
        <color theme="1"/>
        <rFont val="Calibri"/>
        <family val="2"/>
        <scheme val="minor"/>
      </rPr>
      <t xml:space="preserve"> – Needs Enablement Partnering: Capabilities exist but inconsistently. The BU will temporarily operate under a Hybrid Model, sharing responsibilities with the Enablement Team.</t>
    </r>
  </si>
  <si>
    <r>
      <rPr>
        <sz val="11"/>
        <color rgb="FFFF0000"/>
        <rFont val="Calibri"/>
        <family val="2"/>
        <scheme val="minor"/>
      </rPr>
      <t>3. RED</t>
    </r>
    <r>
      <rPr>
        <sz val="11"/>
        <color theme="1"/>
        <rFont val="Calibri"/>
        <family val="2"/>
        <scheme val="minor"/>
      </rPr>
      <t xml:space="preserve"> – </t>
    </r>
    <r>
      <rPr>
        <b/>
        <sz val="11"/>
        <color theme="1"/>
        <rFont val="Calibri"/>
        <family val="2"/>
        <scheme val="minor"/>
      </rPr>
      <t>Not Ready to own a Self-served Domain</t>
    </r>
    <r>
      <rPr>
        <sz val="11"/>
        <color theme="1"/>
        <rFont val="Calibri"/>
        <family val="2"/>
        <scheme val="minor"/>
      </rPr>
      <t>: The Business Unit cannot safely or sustainably operate as a self-serve domain. The Business Unit must relies on existing proffesional Data teams for developing the necessary data products. The Business Unit can get data from a Self-serve Domain in Fabric and produce BI solutions as a Business-led self-serve process</t>
    </r>
  </si>
  <si>
    <t>Next Steps After Completing the Assessment</t>
  </si>
  <si>
    <t>1. Review gaps and bottlenecks identified.</t>
  </si>
  <si>
    <t>2. Meet with the Fabric Enablement Team to review results.</t>
  </si>
  <si>
    <t>3. Develop a capability uplift plan (training, staffing, processes).</t>
  </si>
  <si>
    <t>4. Reassess periodically as the domain evolves.</t>
  </si>
  <si>
    <t>Self-Serve Business-led AI Readiness Assessment – Questionnaire</t>
  </si>
  <si>
    <t>Dimension</t>
  </si>
  <si>
    <t>Q-ID</t>
  </si>
  <si>
    <t>Purpose</t>
  </si>
  <si>
    <t>Question Weight</t>
  </si>
  <si>
    <t>Questions</t>
  </si>
  <si>
    <t>Readiness Score</t>
  </si>
  <si>
    <t>AI Solution Ownership &amp; Accountability</t>
  </si>
  <si>
    <t>Q1</t>
  </si>
  <si>
    <t>Ensures clear DATA accountability and operational ownership</t>
  </si>
  <si>
    <t>Foundational - 1</t>
  </si>
  <si>
    <t>The Business Unit (BU) can identified for the AI solutions the Data Owners &amp; Data Stewards for each data source used.</t>
  </si>
  <si>
    <t>High - 3</t>
  </si>
  <si>
    <t>Q2</t>
  </si>
  <si>
    <t>Confirms the BU is not treating Copilot as “IT-owned” but as a business-owned capability</t>
  </si>
  <si>
    <t>Critical - 3</t>
  </si>
  <si>
    <t>The BU understands its responsibility for prompt design, data usage, access,  AI quality, performance, and user feedback, and Cyber assessments</t>
  </si>
  <si>
    <t>Q3</t>
  </si>
  <si>
    <t>Validates BU readiness to operate AI solutions as a service, not just a prototype</t>
  </si>
  <si>
    <t>Important - 2</t>
  </si>
  <si>
    <t>The BU is prepared to own service expectations, including user access, response quality, and user support for developed Copilot solutions</t>
  </si>
  <si>
    <t>Medium - 2</t>
  </si>
  <si>
    <t>Q4</t>
  </si>
  <si>
    <t xml:space="preserve">Assess BU readiness for supporting AI solutions once in Production </t>
  </si>
  <si>
    <t>The BU has formally allocated capacity (time, roles, process) to support their produced Copilot solutions, including multiple developers</t>
  </si>
  <si>
    <t>Q5</t>
  </si>
  <si>
    <t>Ensures BU  maturity and compliance with DDS support process for AI solution lifecycle</t>
  </si>
  <si>
    <r>
      <t xml:space="preserve">The BU can manages the AI lifecycle stages of </t>
    </r>
    <r>
      <rPr>
        <b/>
        <sz val="10"/>
        <color theme="1"/>
        <rFont val="Calibri"/>
        <family val="2"/>
        <scheme val="minor"/>
      </rPr>
      <t>design, build, test, monitoring, retirement</t>
    </r>
    <r>
      <rPr>
        <sz val="10"/>
        <color theme="1"/>
        <rFont val="Calibri"/>
        <family val="2"/>
        <scheme val="minor"/>
      </rPr>
      <t xml:space="preserve"> and DDS manages </t>
    </r>
    <r>
      <rPr>
        <b/>
        <sz val="10"/>
        <color theme="1"/>
        <rFont val="Calibri"/>
        <family val="2"/>
        <scheme val="minor"/>
      </rPr>
      <t>production deployment and availability</t>
    </r>
  </si>
  <si>
    <t>Q6</t>
  </si>
  <si>
    <t>Ensures value-driven use, in scope with business-led self-service goal</t>
  </si>
  <si>
    <t>The BU clearly defines use cases and intended users in scope with Business-led self-service boundaries for each AI solution</t>
  </si>
  <si>
    <t>Governance &amp; Responsible AI</t>
  </si>
  <si>
    <t>Q7</t>
  </si>
  <si>
    <t>Compliance with centralized governance functions and the scope of AI solutions to be developed</t>
  </si>
  <si>
    <t>The BU understands and acknowledges business-led self-service model, BoC AI governance and Responsible AI standards and Roles</t>
  </si>
  <si>
    <t>Q8</t>
  </si>
  <si>
    <t xml:space="preserve">Confirms alignment with DDS centralized governance functions </t>
  </si>
  <si>
    <t>The BU understands the BoC processes in place to review and approve AI Solution access, connectors, tools and connections</t>
  </si>
  <si>
    <t>Q9</t>
  </si>
  <si>
    <t>Aligment with centralize processes to ensures readiness for audits, and compliance reviews.</t>
  </si>
  <si>
    <t>The BU understands auditability and traceability requirements for Copilot usage, conversations, and decisions</t>
  </si>
  <si>
    <t>Technical &amp; Platform Readiness</t>
  </si>
  <si>
    <t>Q10</t>
  </si>
  <si>
    <t>Validates actual BU skills and capabilities to build AI solutions in Copilot Studio</t>
  </si>
  <si>
    <t>The BU has hands-on skills in Copilot Studio, including topics, prompts, actions, MCP and agent orchestration</t>
  </si>
  <si>
    <t>Q11</t>
  </si>
  <si>
    <t>Validates actual BU skills for secure content exposure in AI</t>
  </si>
  <si>
    <t>The BU has hands-on skills with knowedge base design, solution access control and AI best practices in general and for Copilot Studio</t>
  </si>
  <si>
    <t>Q12</t>
  </si>
  <si>
    <t>Validates actual BU understanding of the Copilot Studio platform</t>
  </si>
  <si>
    <t>The BU understands Copilot Studio environment security, DLP policies, permissions, and connector governance</t>
  </si>
  <si>
    <t>Q13</t>
  </si>
  <si>
    <t>Validates actual BU skills for proper LLMs selection and lifecycle mgmt.</t>
  </si>
  <si>
    <t>The BU understand the criterias to select and lifecycle mgmt LLMs that fit the AI solution needs</t>
  </si>
  <si>
    <t>Q14</t>
  </si>
  <si>
    <t>Validates actual BU skills to develop AI solutions in compliance with Ethical and Governance standards</t>
  </si>
  <si>
    <t>The BU has experience handling AI quality issues, such as hallucinations, grounding, and prompt tuning</t>
  </si>
  <si>
    <t>Collaboration &amp; Federated Governance</t>
  </si>
  <si>
    <t>Q15</t>
  </si>
  <si>
    <t>Compliance with the De-centralied operating mode having the AI Enablement Team as part of every solution</t>
  </si>
  <si>
    <r>
      <t xml:space="preserve">The BU collaborates effectively with the </t>
    </r>
    <r>
      <rPr>
        <b/>
        <sz val="10"/>
        <color theme="1"/>
        <rFont val="Calibri"/>
        <family val="2"/>
        <scheme val="minor"/>
      </rPr>
      <t>Copilot / AI Enablement Team</t>
    </r>
    <r>
      <rPr>
        <sz val="10"/>
        <color theme="1"/>
        <rFont val="Calibri"/>
        <family val="2"/>
        <scheme val="minor"/>
      </rPr>
      <t xml:space="preserve"> and platform owners</t>
    </r>
  </si>
  <si>
    <t>Q16</t>
  </si>
  <si>
    <t xml:space="preserve">Compliance with DDS AI Intake and Architecture governance processes </t>
  </si>
  <si>
    <r>
      <t xml:space="preserve">The BU actively participates in </t>
    </r>
    <r>
      <rPr>
        <b/>
        <sz val="10"/>
        <color theme="1"/>
        <rFont val="Calibri"/>
        <family val="2"/>
        <scheme val="minor"/>
      </rPr>
      <t>federated AI governance reviews</t>
    </r>
    <r>
      <rPr>
        <sz val="10"/>
        <color theme="1"/>
        <rFont val="Calibri"/>
        <family val="2"/>
        <scheme val="minor"/>
      </rPr>
      <t>, PAG, risk assessments, and design discussions</t>
    </r>
  </si>
  <si>
    <t>Q17</t>
  </si>
  <si>
    <t>Compliance with Architecture best practices and platform optimization practices.</t>
  </si>
  <si>
    <t>The BU will try first BoC AI architetcure patterns and will reuse existing components, sources and connections where possible</t>
  </si>
  <si>
    <t>Dimension Final Score</t>
  </si>
  <si>
    <t>Dimension Points</t>
  </si>
  <si>
    <t>Weight</t>
  </si>
  <si>
    <t>Weigthed Score</t>
  </si>
  <si>
    <t>Max Weighted Value</t>
  </si>
  <si>
    <t>Q Visual Score</t>
  </si>
  <si>
    <t>Define Minimum Readiness Level</t>
  </si>
  <si>
    <t>Score</t>
  </si>
  <si>
    <t>Readiness Level</t>
  </si>
  <si>
    <t>Label</t>
  </si>
  <si>
    <t>Question Weight Level</t>
  </si>
  <si>
    <t>High</t>
  </si>
  <si>
    <t>Critical</t>
  </si>
  <si>
    <t>Medium</t>
  </si>
  <si>
    <t>Important</t>
  </si>
  <si>
    <t>Low</t>
  </si>
  <si>
    <t>Foundational</t>
  </si>
  <si>
    <t>Overall Score</t>
  </si>
  <si>
    <t>Self-Serve Business-led AI Readiness Assessment Final Results</t>
  </si>
  <si>
    <t>Dimension
 Final Score</t>
  </si>
  <si>
    <t xml:space="preserve">Dimension Points/Max </t>
  </si>
  <si>
    <t>Critical 
Flag</t>
  </si>
  <si>
    <t>OVERALL SCORE</t>
  </si>
  <si>
    <t>Classification</t>
  </si>
  <si>
    <r>
      <rPr>
        <sz val="11"/>
        <color rgb="FF00B050"/>
        <rFont val="Calibri"/>
        <family val="2"/>
        <scheme val="minor"/>
      </rPr>
      <t>1.</t>
    </r>
    <r>
      <rPr>
        <sz val="11"/>
        <color theme="1"/>
        <rFont val="Calibri"/>
        <family val="2"/>
        <scheme val="minor"/>
      </rPr>
      <t xml:space="preserve"> </t>
    </r>
    <r>
      <rPr>
        <sz val="11"/>
        <color rgb="FF00B050"/>
        <rFont val="Calibri"/>
        <family val="2"/>
        <scheme val="minor"/>
      </rPr>
      <t>GREEN</t>
    </r>
    <r>
      <rPr>
        <sz val="11"/>
        <color theme="1"/>
        <rFont val="Calibri"/>
        <family val="2"/>
        <scheme val="minor"/>
      </rPr>
      <t xml:space="preserve"> – Ready for Self-Serve Domain: The BU is capable, mature, and accountable. Only periodic oversight by the Enablement Team is required.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</si>
</sst>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ont>
    <font>
      <b/>
      <sz val="11"/>
      <color theme="0"/>
      <name val="Calibri"/>
      <family val="2"/>
      <scheme val="minor"/>
    </font>
    <font>
      <sz val="11"/>
      <color rgb="FFFF0000"/>
      <name val="Calibri"/>
      <family val="2"/>
      <scheme val="minor"/>
    </font>
    <font>
      <b/>
      <sz val="11"/>
      <color theme="1"/>
      <name val="Calibri"/>
      <family val="2"/>
      <scheme val="minor"/>
    </font>
    <font>
      <b/>
      <sz val="12"/>
      <name val="Calibri"/>
      <family val="2"/>
    </font>
    <font>
      <sz val="12"/>
      <color theme="1"/>
      <name val="Calibri"/>
      <family val="2"/>
      <scheme val="minor"/>
    </font>
    <font>
      <b/>
      <sz val="12"/>
      <color theme="1"/>
      <name val="Calibri"/>
      <family val="2"/>
      <scheme val="minor"/>
    </font>
    <font>
      <sz val="8"/>
      <name val="Calibri"/>
      <family val="2"/>
      <scheme val="minor"/>
    </font>
    <font>
      <b/>
      <sz val="12"/>
      <color theme="0"/>
      <name val="Calibri"/>
      <family val="2"/>
    </font>
    <font>
      <sz val="11"/>
      <color rgb="FF00B050"/>
      <name val="Calibri"/>
      <family val="2"/>
      <scheme val="minor"/>
    </font>
    <font>
      <sz val="11"/>
      <color rgb="FFFFC000"/>
      <name val="Calibri"/>
      <family val="2"/>
      <scheme val="minor"/>
    </font>
    <font>
      <b/>
      <sz val="24"/>
      <color theme="0"/>
      <name val="Calibri"/>
      <family val="2"/>
      <scheme val="minor"/>
    </font>
    <font>
      <sz val="22"/>
      <color theme="0"/>
      <name val="Calibri"/>
      <family val="2"/>
      <scheme val="minor"/>
    </font>
    <font>
      <b/>
      <sz val="14"/>
      <color theme="0"/>
      <name val="Calibri"/>
      <family val="2"/>
    </font>
    <font>
      <sz val="11"/>
      <color theme="1"/>
      <name val="Calibri"/>
      <family val="2"/>
      <scheme val="minor"/>
    </font>
    <font>
      <b/>
      <sz val="10"/>
      <color theme="1"/>
      <name val="Calibri"/>
      <family val="2"/>
      <scheme val="minor"/>
    </font>
    <font>
      <sz val="10"/>
      <color theme="1"/>
      <name val="Calibri"/>
      <family val="2"/>
      <scheme val="minor"/>
    </font>
  </fonts>
  <fills count="9">
    <fill>
      <patternFill patternType="none"/>
    </fill>
    <fill>
      <patternFill patternType="gray125"/>
    </fill>
    <fill>
      <patternFill patternType="solid">
        <fgColor theme="6" tint="-0.499984740745262"/>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7030A0"/>
        <bgColor indexed="64"/>
      </patternFill>
    </fill>
    <fill>
      <patternFill patternType="solid">
        <fgColor theme="7" tint="0.79998168889431442"/>
        <bgColor indexed="64"/>
      </patternFill>
    </fill>
    <fill>
      <patternFill patternType="solid">
        <fgColor theme="5"/>
        <bgColor indexed="64"/>
      </patternFill>
    </fill>
    <fill>
      <patternFill patternType="solid">
        <fgColor theme="0"/>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5" fillId="0" borderId="0" applyFont="0" applyFill="0" applyBorder="0" applyAlignment="0" applyProtection="0"/>
  </cellStyleXfs>
  <cellXfs count="92">
    <xf numFmtId="0" fontId="0" fillId="0" borderId="0" xfId="0"/>
    <xf numFmtId="0" fontId="0" fillId="0" borderId="0" xfId="0" applyAlignment="1">
      <alignment wrapText="1"/>
    </xf>
    <xf numFmtId="0" fontId="0" fillId="0" borderId="0" xfId="0" applyAlignment="1">
      <alignment horizontal="center" vertical="center"/>
    </xf>
    <xf numFmtId="0" fontId="2" fillId="2" borderId="5" xfId="0" applyFont="1" applyFill="1" applyBorder="1" applyAlignment="1">
      <alignment horizontal="center" vertical="center"/>
    </xf>
    <xf numFmtId="0" fontId="2" fillId="2" borderId="1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xf>
    <xf numFmtId="0" fontId="6" fillId="3" borderId="15" xfId="0" applyFont="1" applyFill="1" applyBorder="1" applyAlignment="1">
      <alignment horizontal="center"/>
    </xf>
    <xf numFmtId="0" fontId="0" fillId="0" borderId="8"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5" fillId="4" borderId="0" xfId="0" applyFont="1" applyFill="1" applyAlignment="1">
      <alignment horizontal="center" vertical="center"/>
    </xf>
    <xf numFmtId="49" fontId="5" fillId="4" borderId="0" xfId="0" applyNumberFormat="1" applyFont="1" applyFill="1" applyAlignment="1">
      <alignment horizontal="center" vertical="center" wrapText="1"/>
    </xf>
    <xf numFmtId="0" fontId="6" fillId="3" borderId="12" xfId="0" applyFont="1" applyFill="1" applyBorder="1"/>
    <xf numFmtId="0" fontId="1" fillId="0" borderId="11" xfId="0" applyFont="1" applyBorder="1"/>
    <xf numFmtId="0" fontId="1" fillId="0" borderId="13" xfId="0" applyFont="1" applyBorder="1"/>
    <xf numFmtId="0" fontId="0" fillId="0" borderId="0" xfId="0" applyAlignment="1">
      <alignment horizontal="left" vertical="center"/>
    </xf>
    <xf numFmtId="0" fontId="0" fillId="0" borderId="17" xfId="0" applyBorder="1"/>
    <xf numFmtId="0" fontId="0" fillId="0" borderId="6" xfId="0" applyBorder="1"/>
    <xf numFmtId="0" fontId="4" fillId="0" borderId="0" xfId="0" applyFont="1" applyAlignment="1">
      <alignment horizontal="center" vertical="center"/>
    </xf>
    <xf numFmtId="0" fontId="6" fillId="0" borderId="0" xfId="0" applyFont="1" applyAlignment="1">
      <alignment vertical="center" wrapText="1"/>
    </xf>
    <xf numFmtId="0" fontId="6" fillId="3" borderId="12" xfId="0" applyFont="1" applyFill="1" applyBorder="1" applyAlignment="1">
      <alignment horizontal="left" vertical="center"/>
    </xf>
    <xf numFmtId="2" fontId="1" fillId="0" borderId="7" xfId="0" applyNumberFormat="1" applyFont="1" applyBorder="1"/>
    <xf numFmtId="0" fontId="0" fillId="0" borderId="16" xfId="0" applyBorder="1"/>
    <xf numFmtId="0" fontId="0" fillId="0" borderId="18" xfId="0" applyBorder="1"/>
    <xf numFmtId="0" fontId="0" fillId="0" borderId="14" xfId="0" applyBorder="1"/>
    <xf numFmtId="0" fontId="0" fillId="0" borderId="15" xfId="0" applyBorder="1"/>
    <xf numFmtId="2" fontId="7" fillId="3" borderId="0" xfId="0" applyNumberFormat="1" applyFont="1" applyFill="1" applyAlignment="1">
      <alignment horizontal="center"/>
    </xf>
    <xf numFmtId="0" fontId="9" fillId="5" borderId="1"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13" fillId="5" borderId="0" xfId="0" applyFont="1" applyFill="1" applyAlignment="1">
      <alignment wrapText="1"/>
    </xf>
    <xf numFmtId="0" fontId="7" fillId="0" borderId="0" xfId="0" applyFont="1" applyAlignment="1">
      <alignment wrapText="1"/>
    </xf>
    <xf numFmtId="0" fontId="6" fillId="0" borderId="0" xfId="0" applyFont="1"/>
    <xf numFmtId="0" fontId="6" fillId="0" borderId="0" xfId="0" applyFont="1" applyAlignment="1">
      <alignment horizontal="center" vertical="center"/>
    </xf>
    <xf numFmtId="0" fontId="6" fillId="0" borderId="0" xfId="0" applyFont="1" applyAlignment="1">
      <alignment horizontal="center"/>
    </xf>
    <xf numFmtId="0" fontId="14" fillId="5" borderId="1"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7" fillId="6" borderId="7" xfId="0" applyFont="1" applyFill="1" applyBorder="1" applyAlignment="1">
      <alignment vertical="center" wrapText="1"/>
    </xf>
    <xf numFmtId="0" fontId="17" fillId="6" borderId="15" xfId="0" applyFont="1" applyFill="1" applyBorder="1" applyAlignment="1">
      <alignment vertical="center" wrapText="1"/>
    </xf>
    <xf numFmtId="0" fontId="17" fillId="6" borderId="18" xfId="0" applyFont="1" applyFill="1" applyBorder="1" applyAlignment="1">
      <alignment vertical="center" wrapText="1"/>
    </xf>
    <xf numFmtId="49" fontId="17" fillId="6" borderId="11" xfId="0" applyNumberFormat="1" applyFont="1" applyFill="1" applyBorder="1" applyAlignment="1">
      <alignment vertical="top" wrapText="1"/>
    </xf>
    <xf numFmtId="49" fontId="17" fillId="6" borderId="12" xfId="0" applyNumberFormat="1" applyFont="1" applyFill="1" applyBorder="1" applyAlignment="1">
      <alignment vertical="top" wrapText="1"/>
    </xf>
    <xf numFmtId="49" fontId="17" fillId="6" borderId="13" xfId="0" applyNumberFormat="1" applyFont="1" applyFill="1" applyBorder="1" applyAlignment="1">
      <alignment vertical="top" wrapText="1"/>
    </xf>
    <xf numFmtId="0" fontId="17" fillId="6" borderId="11" xfId="0" applyFont="1" applyFill="1" applyBorder="1" applyAlignment="1">
      <alignment vertical="center"/>
    </xf>
    <xf numFmtId="0" fontId="17" fillId="6" borderId="12" xfId="0" applyFont="1" applyFill="1" applyBorder="1" applyAlignment="1">
      <alignment vertical="center"/>
    </xf>
    <xf numFmtId="0" fontId="17" fillId="6" borderId="7" xfId="0" applyFont="1" applyFill="1" applyBorder="1" applyAlignment="1">
      <alignment vertical="center"/>
    </xf>
    <xf numFmtId="0" fontId="17" fillId="6" borderId="15" xfId="0" applyFont="1" applyFill="1" applyBorder="1" applyAlignment="1">
      <alignment vertical="center"/>
    </xf>
    <xf numFmtId="0" fontId="17" fillId="6" borderId="0" xfId="0" applyFont="1" applyFill="1" applyAlignment="1">
      <alignment vertical="center"/>
    </xf>
    <xf numFmtId="0" fontId="17" fillId="6" borderId="18" xfId="0" applyFont="1" applyFill="1" applyBorder="1" applyAlignment="1">
      <alignment vertical="center"/>
    </xf>
    <xf numFmtId="0" fontId="17" fillId="6" borderId="13" xfId="0" applyFont="1" applyFill="1" applyBorder="1" applyAlignment="1">
      <alignment vertical="center"/>
    </xf>
    <xf numFmtId="49" fontId="17" fillId="6" borderId="14" xfId="0" applyNumberFormat="1" applyFont="1" applyFill="1" applyBorder="1" applyAlignment="1">
      <alignment vertical="top" wrapText="1"/>
    </xf>
    <xf numFmtId="49" fontId="17" fillId="6" borderId="16" xfId="0" applyNumberFormat="1" applyFont="1" applyFill="1" applyBorder="1" applyAlignment="1">
      <alignment vertical="top" wrapText="1"/>
    </xf>
    <xf numFmtId="49" fontId="17" fillId="6" borderId="11" xfId="0" applyNumberFormat="1" applyFont="1" applyFill="1" applyBorder="1" applyAlignment="1">
      <alignment vertical="center" wrapText="1"/>
    </xf>
    <xf numFmtId="49" fontId="17" fillId="6" borderId="12" xfId="0" applyNumberFormat="1" applyFont="1" applyFill="1" applyBorder="1" applyAlignment="1">
      <alignment vertical="center" wrapText="1"/>
    </xf>
    <xf numFmtId="49" fontId="17" fillId="6" borderId="13" xfId="0" applyNumberFormat="1" applyFont="1" applyFill="1" applyBorder="1" applyAlignment="1">
      <alignment vertical="center" wrapText="1"/>
    </xf>
    <xf numFmtId="2" fontId="4" fillId="0" borderId="0" xfId="0" applyNumberFormat="1" applyFont="1" applyAlignment="1">
      <alignment horizontal="center" vertical="center"/>
    </xf>
    <xf numFmtId="0" fontId="2" fillId="7" borderId="11" xfId="0" applyFont="1" applyFill="1" applyBorder="1" applyAlignment="1">
      <alignment horizontal="center" vertical="center"/>
    </xf>
    <xf numFmtId="9" fontId="4" fillId="0" borderId="0" xfId="1" applyFont="1" applyAlignment="1">
      <alignment horizontal="center" vertical="center"/>
    </xf>
    <xf numFmtId="9" fontId="7" fillId="0" borderId="0" xfId="1" applyFont="1" applyAlignment="1">
      <alignment horizontal="center" vertical="center" wrapText="1"/>
    </xf>
    <xf numFmtId="0" fontId="16" fillId="6" borderId="11" xfId="0" applyFont="1" applyFill="1" applyBorder="1" applyAlignment="1" applyProtection="1">
      <alignment horizontal="left"/>
      <protection locked="0"/>
    </xf>
    <xf numFmtId="0" fontId="16" fillId="6" borderId="12" xfId="0" applyFont="1" applyFill="1" applyBorder="1" applyAlignment="1" applyProtection="1">
      <alignment horizontal="left"/>
      <protection locked="0"/>
    </xf>
    <xf numFmtId="0" fontId="16" fillId="6" borderId="13" xfId="0" applyFont="1" applyFill="1" applyBorder="1" applyAlignment="1" applyProtection="1">
      <alignment horizontal="left"/>
      <protection locked="0"/>
    </xf>
    <xf numFmtId="0" fontId="17" fillId="0" borderId="11" xfId="0" applyFont="1" applyBorder="1" applyAlignment="1" applyProtection="1">
      <alignment horizontal="left"/>
      <protection locked="0"/>
    </xf>
    <xf numFmtId="0" fontId="17" fillId="0" borderId="12" xfId="0" applyFont="1" applyBorder="1" applyAlignment="1" applyProtection="1">
      <alignment horizontal="left"/>
      <protection locked="0"/>
    </xf>
    <xf numFmtId="0" fontId="17" fillId="0" borderId="13" xfId="0" applyFont="1" applyBorder="1" applyAlignment="1" applyProtection="1">
      <alignment horizontal="left"/>
      <protection locked="0"/>
    </xf>
    <xf numFmtId="9" fontId="0" fillId="0" borderId="0" xfId="1" applyFont="1" applyAlignment="1">
      <alignment horizontal="center" vertical="center"/>
    </xf>
    <xf numFmtId="0" fontId="2" fillId="2" borderId="11" xfId="0" applyFont="1" applyFill="1" applyBorder="1" applyAlignment="1">
      <alignment horizontal="center" vertical="center" wrapText="1"/>
    </xf>
    <xf numFmtId="49" fontId="5" fillId="8" borderId="0" xfId="0" applyNumberFormat="1" applyFont="1" applyFill="1" applyAlignment="1">
      <alignment horizontal="center" vertical="center" wrapText="1"/>
    </xf>
    <xf numFmtId="0" fontId="2" fillId="7" borderId="5" xfId="0" applyFont="1" applyFill="1" applyBorder="1" applyAlignment="1">
      <alignment horizontal="center" vertical="center" wrapText="1"/>
    </xf>
    <xf numFmtId="9" fontId="0" fillId="0" borderId="0" xfId="0" applyNumberFormat="1" applyAlignment="1">
      <alignment horizontal="center"/>
    </xf>
    <xf numFmtId="9" fontId="7" fillId="3" borderId="14" xfId="1" applyFont="1" applyFill="1" applyBorder="1" applyAlignment="1">
      <alignment horizontal="center"/>
    </xf>
    <xf numFmtId="0" fontId="12" fillId="5" borderId="5" xfId="0" applyFont="1" applyFill="1" applyBorder="1"/>
    <xf numFmtId="0" fontId="12" fillId="5" borderId="6" xfId="0" applyFont="1" applyFill="1" applyBorder="1"/>
    <xf numFmtId="0" fontId="12" fillId="5" borderId="7" xfId="0" applyFont="1" applyFill="1" applyBorder="1"/>
    <xf numFmtId="9" fontId="5" fillId="0" borderId="6" xfId="1" applyFont="1" applyBorder="1" applyAlignment="1">
      <alignment horizontal="center"/>
    </xf>
    <xf numFmtId="0" fontId="16" fillId="6" borderId="11"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3" fillId="5" borderId="0" xfId="0" applyFont="1" applyFill="1" applyAlignment="1">
      <alignment horizontal="center"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16" fillId="0" borderId="17" xfId="0" applyFont="1" applyBorder="1" applyAlignment="1">
      <alignment horizontal="center"/>
    </xf>
    <xf numFmtId="0" fontId="16" fillId="0" borderId="18" xfId="0" applyFont="1" applyBorder="1" applyAlignment="1">
      <alignment horizontal="center"/>
    </xf>
    <xf numFmtId="0" fontId="0" fillId="0" borderId="16" xfId="0" applyBorder="1" applyAlignment="1">
      <alignment horizontal="left" vertical="center" wrapText="1"/>
    </xf>
    <xf numFmtId="0" fontId="0" fillId="0" borderId="17" xfId="0" applyBorder="1" applyAlignment="1">
      <alignment horizontal="left" vertical="center" wrapText="1"/>
    </xf>
  </cellXfs>
  <cellStyles count="2">
    <cellStyle name="Normal" xfId="0" builtinId="0"/>
    <cellStyle name="Percent" xfId="1" builtinId="5"/>
  </cellStyles>
  <dxfs count="7">
    <dxf>
      <fill>
        <patternFill>
          <bgColor theme="5" tint="0.79998168889431442"/>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s>
  <tableStyles count="0" defaultTableStyle="TableStyleMedium9" defaultPivotStyle="PivotStyleLight16"/>
  <colors>
    <mruColors>
      <color rgb="FFE7FAFF"/>
      <color rgb="FFCEF3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CA"/>
              <a:t>Business Unit Maturity (Average Scores)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25659324842459208"/>
          <c:y val="0.1984013432805766"/>
          <c:w val="0.47525581009101742"/>
          <c:h val="0.6914580139625589"/>
        </c:manualLayout>
      </c:layout>
      <c:radarChart>
        <c:radarStyle val="marker"/>
        <c:varyColors val="0"/>
        <c:ser>
          <c:idx val="0"/>
          <c:order val="0"/>
          <c:tx>
            <c:strRef>
              <c:f>Results!$C$4</c:f>
              <c:strCache>
                <c:ptCount val="1"/>
                <c:pt idx="0">
                  <c:v>Dimension
 Final Score</c:v>
                </c:pt>
              </c:strCache>
            </c:strRef>
          </c:tx>
          <c:spPr>
            <a:ln w="15875" cap="rnd">
              <a:solidFill>
                <a:srgbClr val="FF0000"/>
              </a:solidFill>
              <a:round/>
            </a:ln>
            <a:effectLst>
              <a:outerShdw blurRad="40000" dist="20000" dir="5400000" rotWithShape="0">
                <a:srgbClr val="000000">
                  <a:alpha val="38000"/>
                </a:srgbClr>
              </a:outerShdw>
            </a:effectLst>
          </c:spPr>
          <c:marker>
            <c:symbol val="none"/>
          </c:marker>
          <c:cat>
            <c:strRef>
              <c:f>Results!$B$5:$B$8</c:f>
              <c:strCache>
                <c:ptCount val="4"/>
                <c:pt idx="0">
                  <c:v>AI Solution Ownership &amp; Accountability</c:v>
                </c:pt>
                <c:pt idx="1">
                  <c:v>Governance &amp; Responsible AI</c:v>
                </c:pt>
                <c:pt idx="2">
                  <c:v>Technical &amp; Platform Readiness</c:v>
                </c:pt>
                <c:pt idx="3">
                  <c:v>Collaboration &amp; Federated Governance</c:v>
                </c:pt>
              </c:strCache>
            </c:strRef>
          </c:cat>
          <c:val>
            <c:numRef>
              <c:f>Results!$C$5:$C$8</c:f>
              <c:numCache>
                <c:formatCode>0%</c:formatCode>
                <c:ptCount val="4"/>
                <c:pt idx="0">
                  <c:v>0.73466003316749595</c:v>
                </c:pt>
                <c:pt idx="1">
                  <c:v>0.60199004975124382</c:v>
                </c:pt>
                <c:pt idx="2">
                  <c:v>0.60199004975124382</c:v>
                </c:pt>
                <c:pt idx="3">
                  <c:v>0.60199004975124382</c:v>
                </c:pt>
              </c:numCache>
            </c:numRef>
          </c:val>
          <c:extLst>
            <c:ext xmlns:c16="http://schemas.microsoft.com/office/drawing/2014/chart" uri="{C3380CC4-5D6E-409C-BE32-E72D297353CC}">
              <c16:uniqueId val="{00000000-9026-44C5-AE05-46D68833BBDF}"/>
            </c:ext>
          </c:extLst>
        </c:ser>
        <c:dLbls>
          <c:showLegendKey val="0"/>
          <c:showVal val="0"/>
          <c:showCatName val="0"/>
          <c:showSerName val="0"/>
          <c:showPercent val="0"/>
          <c:showBubbleSize val="0"/>
        </c:dLbls>
        <c:axId val="10"/>
        <c:axId val="100"/>
      </c:rad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273050</xdr:colOff>
      <xdr:row>2</xdr:row>
      <xdr:rowOff>66674</xdr:rowOff>
    </xdr:from>
    <xdr:ext cx="5635626" cy="3873502"/>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35"/>
  <sheetViews>
    <sheetView showGridLines="0" topLeftCell="A21" zoomScale="110" zoomScaleNormal="110" workbookViewId="0"/>
  </sheetViews>
  <sheetFormatPr defaultRowHeight="14.45"/>
  <cols>
    <col min="2" max="2" width="167" customWidth="1"/>
  </cols>
  <sheetData>
    <row r="2" spans="2:2" ht="53.25" customHeight="1">
      <c r="B2" s="35" t="s">
        <v>0</v>
      </c>
    </row>
    <row r="3" spans="2:2">
      <c r="B3" s="1"/>
    </row>
    <row r="4" spans="2:2" ht="15.6">
      <c r="B4" s="36" t="s">
        <v>1</v>
      </c>
    </row>
    <row r="5" spans="2:2" ht="101.45">
      <c r="B5" s="1" t="s">
        <v>2</v>
      </c>
    </row>
    <row r="6" spans="2:2">
      <c r="B6" s="1"/>
    </row>
    <row r="7" spans="2:2" ht="20.25" customHeight="1">
      <c r="B7" s="36" t="s">
        <v>3</v>
      </c>
    </row>
    <row r="8" spans="2:2">
      <c r="B8" s="1" t="s">
        <v>4</v>
      </c>
    </row>
    <row r="9" spans="2:2">
      <c r="B9" s="1" t="s">
        <v>5</v>
      </c>
    </row>
    <row r="10" spans="2:2">
      <c r="B10" s="1" t="s">
        <v>6</v>
      </c>
    </row>
    <row r="11" spans="2:2">
      <c r="B11" s="1" t="s">
        <v>7</v>
      </c>
    </row>
    <row r="12" spans="2:2">
      <c r="B12" s="1" t="s">
        <v>8</v>
      </c>
    </row>
    <row r="13" spans="2:2">
      <c r="B13" s="1"/>
    </row>
    <row r="14" spans="2:2" ht="17.100000000000001" customHeight="1">
      <c r="B14" s="36" t="s">
        <v>9</v>
      </c>
    </row>
    <row r="15" spans="2:2">
      <c r="B15" s="1" t="s">
        <v>10</v>
      </c>
    </row>
    <row r="16" spans="2:2">
      <c r="B16" s="1" t="s">
        <v>11</v>
      </c>
    </row>
    <row r="17" spans="2:7">
      <c r="B17" s="1" t="s">
        <v>12</v>
      </c>
    </row>
    <row r="18" spans="2:7">
      <c r="B18" s="1" t="s">
        <v>13</v>
      </c>
    </row>
    <row r="19" spans="2:7">
      <c r="B19" s="1" t="s">
        <v>14</v>
      </c>
    </row>
    <row r="20" spans="2:7">
      <c r="B20" s="1"/>
    </row>
    <row r="21" spans="2:7" ht="15.6">
      <c r="B21" s="36" t="s">
        <v>15</v>
      </c>
    </row>
    <row r="22" spans="2:7">
      <c r="B22" s="1" t="s">
        <v>16</v>
      </c>
    </row>
    <row r="23" spans="2:7" ht="87">
      <c r="B23" s="1" t="s">
        <v>17</v>
      </c>
    </row>
    <row r="24" spans="2:7">
      <c r="B24" s="1"/>
    </row>
    <row r="25" spans="2:7" ht="15.6">
      <c r="B25" s="36" t="s">
        <v>18</v>
      </c>
    </row>
    <row r="26" spans="2:7">
      <c r="B26" s="1" t="s">
        <v>19</v>
      </c>
    </row>
    <row r="27" spans="2:7" ht="35.1" customHeight="1">
      <c r="B27" s="86" t="s">
        <v>20</v>
      </c>
      <c r="C27" s="87"/>
      <c r="D27" s="87"/>
      <c r="E27" s="87"/>
      <c r="F27" s="87"/>
      <c r="G27" s="87"/>
    </row>
    <row r="28" spans="2:7" ht="30.6" customHeight="1">
      <c r="B28" s="86" t="s">
        <v>21</v>
      </c>
      <c r="C28" s="87"/>
      <c r="D28" s="87"/>
      <c r="E28" s="87"/>
      <c r="F28" s="87"/>
      <c r="G28" s="87"/>
    </row>
    <row r="29" spans="2:7" ht="59.1" customHeight="1">
      <c r="B29" s="86" t="s">
        <v>22</v>
      </c>
      <c r="C29" s="87"/>
      <c r="D29" s="87"/>
      <c r="E29" s="87"/>
      <c r="F29" s="87"/>
      <c r="G29" s="87"/>
    </row>
    <row r="30" spans="2:7">
      <c r="B30" s="1"/>
    </row>
    <row r="31" spans="2:7" ht="15.6">
      <c r="B31" s="36" t="s">
        <v>23</v>
      </c>
    </row>
    <row r="32" spans="2:7">
      <c r="B32" s="1" t="s">
        <v>24</v>
      </c>
    </row>
    <row r="33" spans="2:2">
      <c r="B33" s="1" t="s">
        <v>25</v>
      </c>
    </row>
    <row r="34" spans="2:2">
      <c r="B34" s="1" t="s">
        <v>26</v>
      </c>
    </row>
    <row r="35" spans="2:2">
      <c r="B35" s="1" t="s">
        <v>27</v>
      </c>
    </row>
  </sheetData>
  <sheetProtection selectLockedCells="1" selectUnlockedCells="1"/>
  <mergeCells count="3">
    <mergeCell ref="B27:G27"/>
    <mergeCell ref="B28:G28"/>
    <mergeCell ref="B29:G29"/>
  </mergeCells>
  <pageMargins left="0.75" right="0.75" top="1" bottom="1" header="0.5" footer="0.5"/>
  <headerFooter>
    <oddHeader>&amp;R&amp;"Aptos"&amp;10&amp;K000000 Category/Catégorie: Non-Sensitive/Non-Délicat&amp;1#_x000D_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1"/>
  <sheetViews>
    <sheetView showGridLines="0" topLeftCell="A5" zoomScaleNormal="100" workbookViewId="0">
      <selection activeCell="D5" sqref="D5"/>
    </sheetView>
  </sheetViews>
  <sheetFormatPr defaultColWidth="8.7109375" defaultRowHeight="15.6"/>
  <cols>
    <col min="1" max="1" width="3.42578125" style="37" customWidth="1"/>
    <col min="2" max="2" width="17.140625" style="37" customWidth="1"/>
    <col min="3" max="3" width="6.140625" style="38" bestFit="1" customWidth="1"/>
    <col min="4" max="4" width="82.85546875" style="37" customWidth="1"/>
    <col min="5" max="5" width="13.5703125" style="38" customWidth="1"/>
    <col min="6" max="6" width="111.28515625" style="37" customWidth="1"/>
    <col min="7" max="7" width="15.140625" style="39" customWidth="1"/>
    <col min="8" max="16384" width="8.7109375" style="37"/>
  </cols>
  <sheetData>
    <row r="1" spans="2:7" ht="33.6" customHeight="1"/>
    <row r="2" spans="2:7" ht="63.6" customHeight="1">
      <c r="B2" s="85" t="s">
        <v>28</v>
      </c>
      <c r="C2" s="85"/>
      <c r="D2" s="85"/>
      <c r="E2" s="85"/>
      <c r="F2" s="85"/>
      <c r="G2" s="85"/>
    </row>
    <row r="3" spans="2:7" ht="15.95" thickBot="1"/>
    <row r="4" spans="2:7" ht="37.5" thickBot="1">
      <c r="B4" s="40" t="s">
        <v>29</v>
      </c>
      <c r="C4" s="32" t="s">
        <v>30</v>
      </c>
      <c r="D4" s="40" t="s">
        <v>31</v>
      </c>
      <c r="E4" s="32" t="s">
        <v>32</v>
      </c>
      <c r="F4" s="40" t="s">
        <v>33</v>
      </c>
      <c r="G4" s="40" t="s">
        <v>34</v>
      </c>
    </row>
    <row r="5" spans="2:7">
      <c r="B5" s="82" t="s">
        <v>35</v>
      </c>
      <c r="C5" s="41" t="s">
        <v>36</v>
      </c>
      <c r="D5" s="47" t="s">
        <v>37</v>
      </c>
      <c r="E5" s="66" t="s">
        <v>38</v>
      </c>
      <c r="F5" s="50" t="s">
        <v>39</v>
      </c>
      <c r="G5" s="69" t="s">
        <v>40</v>
      </c>
    </row>
    <row r="6" spans="2:7">
      <c r="B6" s="83"/>
      <c r="C6" s="42" t="s">
        <v>41</v>
      </c>
      <c r="D6" s="48" t="s">
        <v>42</v>
      </c>
      <c r="E6" s="67" t="s">
        <v>43</v>
      </c>
      <c r="F6" s="51" t="s">
        <v>44</v>
      </c>
      <c r="G6" s="70" t="s">
        <v>40</v>
      </c>
    </row>
    <row r="7" spans="2:7">
      <c r="B7" s="83"/>
      <c r="C7" s="42" t="s">
        <v>45</v>
      </c>
      <c r="D7" s="48" t="s">
        <v>46</v>
      </c>
      <c r="E7" s="67" t="s">
        <v>47</v>
      </c>
      <c r="F7" s="51" t="s">
        <v>48</v>
      </c>
      <c r="G7" s="70" t="s">
        <v>49</v>
      </c>
    </row>
    <row r="8" spans="2:7">
      <c r="B8" s="83"/>
      <c r="C8" s="42" t="s">
        <v>50</v>
      </c>
      <c r="D8" s="48" t="s">
        <v>51</v>
      </c>
      <c r="E8" s="67" t="s">
        <v>43</v>
      </c>
      <c r="F8" s="51" t="s">
        <v>52</v>
      </c>
      <c r="G8" s="70" t="s">
        <v>49</v>
      </c>
    </row>
    <row r="9" spans="2:7">
      <c r="B9" s="42"/>
      <c r="C9" s="42" t="s">
        <v>53</v>
      </c>
      <c r="D9" s="60" t="s">
        <v>54</v>
      </c>
      <c r="E9" s="67" t="s">
        <v>47</v>
      </c>
      <c r="F9" s="51" t="s">
        <v>55</v>
      </c>
      <c r="G9" s="70" t="s">
        <v>49</v>
      </c>
    </row>
    <row r="10" spans="2:7" ht="15.95" thickBot="1">
      <c r="B10" s="43"/>
      <c r="C10" s="42" t="s">
        <v>56</v>
      </c>
      <c r="D10" s="58" t="s">
        <v>57</v>
      </c>
      <c r="E10" s="68" t="s">
        <v>38</v>
      </c>
      <c r="F10" s="56" t="s">
        <v>58</v>
      </c>
      <c r="G10" s="71" t="s">
        <v>49</v>
      </c>
    </row>
    <row r="11" spans="2:7">
      <c r="B11" s="82" t="s">
        <v>59</v>
      </c>
      <c r="C11" s="41" t="s">
        <v>60</v>
      </c>
      <c r="D11" s="57" t="s">
        <v>61</v>
      </c>
      <c r="E11" s="67" t="s">
        <v>38</v>
      </c>
      <c r="F11" s="53" t="s">
        <v>62</v>
      </c>
      <c r="G11" s="70" t="s">
        <v>49</v>
      </c>
    </row>
    <row r="12" spans="2:7">
      <c r="B12" s="83"/>
      <c r="C12" s="42" t="s">
        <v>63</v>
      </c>
      <c r="D12" s="57" t="s">
        <v>64</v>
      </c>
      <c r="E12" s="67" t="s">
        <v>43</v>
      </c>
      <c r="F12" s="54" t="s">
        <v>65</v>
      </c>
      <c r="G12" s="70" t="s">
        <v>49</v>
      </c>
    </row>
    <row r="13" spans="2:7" ht="15.95" thickBot="1">
      <c r="B13" s="84"/>
      <c r="C13" s="42" t="s">
        <v>66</v>
      </c>
      <c r="D13" s="58" t="s">
        <v>67</v>
      </c>
      <c r="E13" s="68" t="s">
        <v>43</v>
      </c>
      <c r="F13" s="55" t="s">
        <v>68</v>
      </c>
      <c r="G13" s="71" t="s">
        <v>49</v>
      </c>
    </row>
    <row r="14" spans="2:7" ht="15.6" customHeight="1">
      <c r="B14" s="82" t="s">
        <v>69</v>
      </c>
      <c r="C14" s="41" t="s">
        <v>70</v>
      </c>
      <c r="D14" s="59" t="s">
        <v>71</v>
      </c>
      <c r="E14" s="66" t="s">
        <v>47</v>
      </c>
      <c r="F14" s="52" t="s">
        <v>72</v>
      </c>
      <c r="G14" s="69" t="s">
        <v>49</v>
      </c>
    </row>
    <row r="15" spans="2:7">
      <c r="B15" s="83"/>
      <c r="C15" s="42" t="s">
        <v>73</v>
      </c>
      <c r="D15" s="60" t="s">
        <v>74</v>
      </c>
      <c r="E15" s="67" t="s">
        <v>47</v>
      </c>
      <c r="F15" s="53" t="s">
        <v>75</v>
      </c>
      <c r="G15" s="70" t="s">
        <v>49</v>
      </c>
    </row>
    <row r="16" spans="2:7">
      <c r="B16" s="83"/>
      <c r="C16" s="42" t="s">
        <v>76</v>
      </c>
      <c r="D16" s="60" t="s">
        <v>77</v>
      </c>
      <c r="E16" s="67" t="s">
        <v>38</v>
      </c>
      <c r="F16" s="53" t="s">
        <v>78</v>
      </c>
      <c r="G16" s="70" t="s">
        <v>49</v>
      </c>
    </row>
    <row r="17" spans="2:7">
      <c r="B17" s="83"/>
      <c r="C17" s="42" t="s">
        <v>79</v>
      </c>
      <c r="D17" s="60" t="s">
        <v>80</v>
      </c>
      <c r="E17" s="67" t="s">
        <v>47</v>
      </c>
      <c r="F17" s="53" t="s">
        <v>81</v>
      </c>
      <c r="G17" s="70" t="s">
        <v>49</v>
      </c>
    </row>
    <row r="18" spans="2:7" ht="18.95" customHeight="1" thickBot="1">
      <c r="B18" s="84"/>
      <c r="C18" s="43" t="s">
        <v>82</v>
      </c>
      <c r="D18" s="61" t="s">
        <v>83</v>
      </c>
      <c r="E18" s="68" t="s">
        <v>43</v>
      </c>
      <c r="F18" s="55" t="s">
        <v>84</v>
      </c>
      <c r="G18" s="71" t="s">
        <v>49</v>
      </c>
    </row>
    <row r="19" spans="2:7" ht="15.6" customHeight="1">
      <c r="B19" s="82" t="s">
        <v>85</v>
      </c>
      <c r="C19" s="41" t="s">
        <v>86</v>
      </c>
      <c r="D19" s="47" t="s">
        <v>87</v>
      </c>
      <c r="E19" s="66" t="s">
        <v>43</v>
      </c>
      <c r="F19" s="44" t="s">
        <v>88</v>
      </c>
      <c r="G19" s="69" t="s">
        <v>49</v>
      </c>
    </row>
    <row r="20" spans="2:7">
      <c r="B20" s="83"/>
      <c r="C20" s="42" t="s">
        <v>89</v>
      </c>
      <c r="D20" s="48" t="s">
        <v>90</v>
      </c>
      <c r="E20" s="67" t="s">
        <v>38</v>
      </c>
      <c r="F20" s="45" t="s">
        <v>91</v>
      </c>
      <c r="G20" s="70" t="s">
        <v>49</v>
      </c>
    </row>
    <row r="21" spans="2:7" ht="15.95" thickBot="1">
      <c r="B21" s="84"/>
      <c r="C21" s="43" t="s">
        <v>92</v>
      </c>
      <c r="D21" s="49" t="s">
        <v>93</v>
      </c>
      <c r="E21" s="68" t="s">
        <v>38</v>
      </c>
      <c r="F21" s="46" t="s">
        <v>94</v>
      </c>
      <c r="G21" s="71" t="s">
        <v>49</v>
      </c>
    </row>
  </sheetData>
  <sheetProtection selectLockedCells="1"/>
  <mergeCells count="5">
    <mergeCell ref="B5:B8"/>
    <mergeCell ref="B14:B18"/>
    <mergeCell ref="B19:B21"/>
    <mergeCell ref="B11:B13"/>
    <mergeCell ref="B2:G2"/>
  </mergeCells>
  <phoneticPr fontId="8" type="noConversion"/>
  <dataValidations count="1">
    <dataValidation type="list" allowBlank="1" showInputMessage="1" showErrorMessage="1" sqref="G5:G21" xr:uid="{9536CFFD-648D-4B1D-9BCE-9F1F0FAC7273}">
      <formula1>RL_label</formula1>
    </dataValidation>
  </dataValidations>
  <pageMargins left="0.75" right="0.75" top="1" bottom="1" header="0.5" footer="0.5"/>
  <headerFooter>
    <oddHeader>&amp;R&amp;"Aptos"&amp;10&amp;K000000 Category/Catégorie: Non-Sensitive/Non-Délicat&amp;1#_x000D_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4B41B61-8FFF-418E-986B-EF65324367CC}">
          <x14:formula1>
            <xm:f>'Code(to hide)'!$S$3:$S$5</xm:f>
          </x14:formula1>
          <xm:sqref>E5:E21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1A36-453A-4FB4-A6CA-5EB68E7818F1}">
  <dimension ref="A1:S21"/>
  <sheetViews>
    <sheetView workbookViewId="0">
      <selection activeCell="C3" sqref="C3"/>
    </sheetView>
  </sheetViews>
  <sheetFormatPr defaultRowHeight="14.45"/>
  <cols>
    <col min="1" max="1" width="6.28515625" customWidth="1"/>
    <col min="2" max="2" width="37.140625" style="8" customWidth="1"/>
    <col min="3" max="4" width="12.140625" style="8" customWidth="1"/>
    <col min="5" max="5" width="5" style="2" bestFit="1" customWidth="1"/>
    <col min="6" max="6" width="9.140625" style="2" customWidth="1"/>
    <col min="7" max="9" width="12.85546875" style="2" customWidth="1"/>
    <col min="10" max="10" width="12.7109375" style="2" bestFit="1" customWidth="1"/>
    <col min="11" max="11" width="12.85546875" style="2" customWidth="1"/>
    <col min="12" max="12" width="15.85546875" style="2" customWidth="1"/>
    <col min="13" max="13" width="14.5703125" customWidth="1"/>
    <col min="14" max="14" width="16.5703125" customWidth="1"/>
    <col min="15" max="15" width="16.42578125" customWidth="1"/>
    <col min="16" max="16" width="4.140625" customWidth="1"/>
    <col min="18" max="18" width="15.42578125" customWidth="1"/>
    <col min="19" max="19" width="16.85546875" customWidth="1"/>
  </cols>
  <sheetData>
    <row r="1" spans="1:19" ht="15" thickBot="1"/>
    <row r="2" spans="1:19" ht="46.5" customHeight="1" thickBot="1">
      <c r="B2" s="15" t="s">
        <v>29</v>
      </c>
      <c r="C2" s="16" t="s">
        <v>95</v>
      </c>
      <c r="D2" s="16" t="s">
        <v>96</v>
      </c>
      <c r="E2" s="15" t="s">
        <v>30</v>
      </c>
      <c r="F2" s="16" t="s">
        <v>97</v>
      </c>
      <c r="G2" s="16" t="s">
        <v>34</v>
      </c>
      <c r="H2" s="16" t="s">
        <v>98</v>
      </c>
      <c r="I2" s="16" t="s">
        <v>99</v>
      </c>
      <c r="J2" s="16" t="s">
        <v>100</v>
      </c>
      <c r="K2" s="74"/>
      <c r="L2" s="73" t="s">
        <v>101</v>
      </c>
      <c r="M2" s="4" t="s">
        <v>102</v>
      </c>
      <c r="N2" s="3" t="s">
        <v>103</v>
      </c>
      <c r="O2" s="4" t="s">
        <v>104</v>
      </c>
      <c r="Q2" s="63" t="s">
        <v>102</v>
      </c>
      <c r="R2" s="75" t="s">
        <v>105</v>
      </c>
      <c r="S2" s="63" t="s">
        <v>104</v>
      </c>
    </row>
    <row r="3" spans="1:19" ht="15" customHeight="1">
      <c r="A3">
        <v>1</v>
      </c>
      <c r="B3" s="24" t="str">
        <f>Assessment!B5</f>
        <v>AI Solution Ownership &amp; Accountability</v>
      </c>
      <c r="C3" s="64">
        <f>L3+((SUMPRODUCT(G3:G8,F3:F8)/(3*SUM(F3:F8)))-0.33)/(0.67)*(1-L3)</f>
        <v>0.73466003316749595</v>
      </c>
      <c r="D3" s="64" t="str">
        <f>CONCATENATE(SUM(H3:H8),"/",SUM(I3:I8))</f>
        <v>28/36</v>
      </c>
      <c r="E3" t="str">
        <f>Assessment!C5</f>
        <v>Q1</v>
      </c>
      <c r="F3" s="2">
        <f>ABS(RIGHT(Assessment!E5,1))</f>
        <v>1</v>
      </c>
      <c r="G3" s="2">
        <f>ABS(RIGHT(Assessment!G5,1))</f>
        <v>3</v>
      </c>
      <c r="H3" s="62">
        <f>F3*G3</f>
        <v>3</v>
      </c>
      <c r="I3" s="62">
        <f>3*F3</f>
        <v>3</v>
      </c>
      <c r="J3" s="64" t="str">
        <f>CONCATENATE(H3,"/",I3)</f>
        <v>3/3</v>
      </c>
      <c r="K3" s="23"/>
      <c r="L3" s="5">
        <v>0.2</v>
      </c>
      <c r="M3" s="5">
        <v>3</v>
      </c>
      <c r="N3" s="76" t="s">
        <v>106</v>
      </c>
      <c r="O3" s="11" t="str">
        <f>CONCATENATE(N3," - ",M3)</f>
        <v>High - 3</v>
      </c>
      <c r="Q3" s="5">
        <v>3</v>
      </c>
      <c r="R3" s="10" t="s">
        <v>107</v>
      </c>
      <c r="S3" s="11" t="str">
        <f>CONCATENATE(R3," - ",Q3)</f>
        <v>Critical - 3</v>
      </c>
    </row>
    <row r="4" spans="1:19" ht="15.6" customHeight="1">
      <c r="B4" s="24"/>
      <c r="C4" s="24"/>
      <c r="D4" s="24"/>
      <c r="E4" t="str">
        <f>Assessment!C6</f>
        <v>Q2</v>
      </c>
      <c r="F4" s="2">
        <f>ABS(RIGHT(Assessment!E6,1))</f>
        <v>3</v>
      </c>
      <c r="G4" s="2">
        <f>ABS(RIGHT(Assessment!G6,1))</f>
        <v>3</v>
      </c>
      <c r="H4" s="62">
        <f t="shared" ref="H4:H8" si="0">F4*G4</f>
        <v>9</v>
      </c>
      <c r="I4" s="62">
        <f t="shared" ref="I4:I19" si="1">3*F4</f>
        <v>9</v>
      </c>
      <c r="J4" s="64" t="str">
        <f t="shared" ref="J4:J19" si="2">CONCATENATE(H4,"/",I4)</f>
        <v>9/9</v>
      </c>
      <c r="M4" s="6">
        <v>2</v>
      </c>
      <c r="N4" s="76" t="s">
        <v>108</v>
      </c>
      <c r="O4" s="11" t="str">
        <f t="shared" ref="O4:O5" si="3">CONCATENATE(N4," - ",M4)</f>
        <v>Medium - 2</v>
      </c>
      <c r="Q4" s="6">
        <v>2</v>
      </c>
      <c r="R4" s="12" t="s">
        <v>109</v>
      </c>
      <c r="S4" s="11" t="str">
        <f>CONCATENATE(R4," - ",Q4)</f>
        <v>Important - 2</v>
      </c>
    </row>
    <row r="5" spans="1:19" ht="15.95" customHeight="1" thickBot="1">
      <c r="B5" s="24"/>
      <c r="C5" s="24"/>
      <c r="D5" s="24"/>
      <c r="E5" t="str">
        <f>Assessment!C7</f>
        <v>Q3</v>
      </c>
      <c r="F5" s="2">
        <f>ABS(RIGHT(Assessment!E7,1))</f>
        <v>2</v>
      </c>
      <c r="G5" s="2">
        <f>ABS(RIGHT(Assessment!G7,1))</f>
        <v>2</v>
      </c>
      <c r="H5" s="62">
        <f t="shared" si="0"/>
        <v>4</v>
      </c>
      <c r="I5" s="62">
        <f t="shared" si="1"/>
        <v>6</v>
      </c>
      <c r="J5" s="64" t="str">
        <f t="shared" si="2"/>
        <v>4/6</v>
      </c>
      <c r="M5" s="7">
        <v>1</v>
      </c>
      <c r="N5" s="76" t="s">
        <v>110</v>
      </c>
      <c r="O5" s="11" t="str">
        <f t="shared" si="3"/>
        <v>Low - 1</v>
      </c>
      <c r="Q5" s="7">
        <v>1</v>
      </c>
      <c r="R5" s="13" t="s">
        <v>111</v>
      </c>
      <c r="S5" s="14" t="str">
        <f>CONCATENATE(R5," - ",Q5)</f>
        <v>Foundational - 1</v>
      </c>
    </row>
    <row r="6" spans="1:19" ht="15.95" customHeight="1">
      <c r="B6" s="24"/>
      <c r="C6" s="24"/>
      <c r="D6" s="24"/>
      <c r="E6" t="str">
        <f>Assessment!C8</f>
        <v>Q4</v>
      </c>
      <c r="F6" s="2">
        <f>ABS(RIGHT(Assessment!E8,1))</f>
        <v>3</v>
      </c>
      <c r="G6" s="2">
        <f>ABS(RIGHT(Assessment!G8,1))</f>
        <v>2</v>
      </c>
      <c r="H6" s="62">
        <f t="shared" si="0"/>
        <v>6</v>
      </c>
      <c r="I6" s="62">
        <f t="shared" si="1"/>
        <v>9</v>
      </c>
      <c r="J6" s="64" t="str">
        <f t="shared" si="2"/>
        <v>6/9</v>
      </c>
      <c r="M6" s="2"/>
      <c r="N6" s="20"/>
      <c r="O6" s="20"/>
    </row>
    <row r="7" spans="1:19" ht="14.45" customHeight="1">
      <c r="B7" s="24"/>
      <c r="C7" s="24"/>
      <c r="D7" s="24"/>
      <c r="E7" t="str">
        <f>Assessment!C9</f>
        <v>Q5</v>
      </c>
      <c r="F7" s="2">
        <f>ABS(RIGHT(Assessment!E9,1))</f>
        <v>2</v>
      </c>
      <c r="G7" s="2">
        <f>ABS(RIGHT(Assessment!G9,1))</f>
        <v>2</v>
      </c>
      <c r="H7" s="62">
        <f t="shared" si="0"/>
        <v>4</v>
      </c>
      <c r="I7" s="62">
        <f t="shared" si="1"/>
        <v>6</v>
      </c>
      <c r="J7" s="64" t="str">
        <f t="shared" si="2"/>
        <v>4/6</v>
      </c>
      <c r="K7" s="23"/>
    </row>
    <row r="8" spans="1:19" ht="15.6" customHeight="1">
      <c r="B8" s="24"/>
      <c r="C8" s="24"/>
      <c r="D8" s="24"/>
      <c r="E8" t="str">
        <f>Assessment!C10</f>
        <v>Q6</v>
      </c>
      <c r="F8" s="2">
        <f>ABS(RIGHT(Assessment!E10,1))</f>
        <v>1</v>
      </c>
      <c r="G8" s="2">
        <f>ABS(RIGHT(Assessment!G10,1))</f>
        <v>2</v>
      </c>
      <c r="H8" s="62">
        <f t="shared" si="0"/>
        <v>2</v>
      </c>
      <c r="I8" s="62">
        <f t="shared" si="1"/>
        <v>3</v>
      </c>
      <c r="J8" s="64" t="str">
        <f t="shared" si="2"/>
        <v>2/3</v>
      </c>
      <c r="K8" s="23"/>
    </row>
    <row r="9" spans="1:19" ht="15.6" customHeight="1">
      <c r="A9">
        <v>2</v>
      </c>
      <c r="B9" s="24" t="str">
        <f>Assessment!B11</f>
        <v>Governance &amp; Responsible AI</v>
      </c>
      <c r="C9" s="65">
        <f>L3+((SUMPRODUCT(G9:G11,F9:F11)/(3*SUM(F9:F11)))-0.33)/0.67*(1-L3)</f>
        <v>0.60199004975124382</v>
      </c>
      <c r="D9" s="64" t="str">
        <f>CONCATENATE(SUM(H9:H11),"/",SUM(I9:I11))</f>
        <v>14/21</v>
      </c>
      <c r="E9" t="str">
        <f>Assessment!C11</f>
        <v>Q7</v>
      </c>
      <c r="F9" s="2">
        <f>ABS(RIGHT(Assessment!E11,1))</f>
        <v>1</v>
      </c>
      <c r="G9" s="2">
        <f>ABS(RIGHT(Assessment!G11,1))</f>
        <v>2</v>
      </c>
      <c r="H9" s="62">
        <f>F9*G9</f>
        <v>2</v>
      </c>
      <c r="I9" s="62">
        <f t="shared" si="1"/>
        <v>3</v>
      </c>
      <c r="J9" s="64" t="str">
        <f t="shared" si="2"/>
        <v>2/3</v>
      </c>
      <c r="K9" s="23"/>
    </row>
    <row r="10" spans="1:19" ht="14.45" customHeight="1">
      <c r="E10" t="str">
        <f>Assessment!C12</f>
        <v>Q8</v>
      </c>
      <c r="F10" s="2">
        <f>ABS(RIGHT(Assessment!E12,1))</f>
        <v>3</v>
      </c>
      <c r="G10" s="2">
        <f>ABS(RIGHT(Assessment!G12,1))</f>
        <v>2</v>
      </c>
      <c r="H10" s="62">
        <f>F10*G10</f>
        <v>6</v>
      </c>
      <c r="I10" s="62">
        <f t="shared" si="1"/>
        <v>9</v>
      </c>
      <c r="J10" s="64" t="str">
        <f t="shared" si="2"/>
        <v>6/9</v>
      </c>
      <c r="K10" s="23"/>
    </row>
    <row r="11" spans="1:19" ht="14.45" customHeight="1">
      <c r="B11" s="24"/>
      <c r="C11" s="24"/>
      <c r="D11" s="24"/>
      <c r="E11" t="str">
        <f>Assessment!C13</f>
        <v>Q9</v>
      </c>
      <c r="F11" s="2">
        <f>ABS(RIGHT(Assessment!E13,1))</f>
        <v>3</v>
      </c>
      <c r="G11" s="2">
        <f>ABS(RIGHT(Assessment!G13,1))</f>
        <v>2</v>
      </c>
      <c r="H11" s="62">
        <f t="shared" ref="H11" si="4">F11*G11</f>
        <v>6</v>
      </c>
      <c r="I11" s="62">
        <f t="shared" si="1"/>
        <v>9</v>
      </c>
      <c r="J11" s="64" t="str">
        <f t="shared" si="2"/>
        <v>6/9</v>
      </c>
      <c r="K11" s="23"/>
      <c r="L11" s="72"/>
    </row>
    <row r="12" spans="1:19" ht="15" customHeight="1">
      <c r="A12">
        <v>3</v>
      </c>
      <c r="B12" s="24" t="str">
        <f>Assessment!B14</f>
        <v>Technical &amp; Platform Readiness</v>
      </c>
      <c r="C12" s="65">
        <f>L3+((SUMPRODUCT(G11:G16,F11:F16)/(3*SUM(F11:F16))-0.33)/0.67*(1-L3))</f>
        <v>0.60199004975124382</v>
      </c>
      <c r="D12" s="64" t="str">
        <f>CONCATENATE(SUM(H12:H16),"/",SUM(I12:I16))</f>
        <v>20/30</v>
      </c>
      <c r="E12" t="str">
        <f>Assessment!C14</f>
        <v>Q10</v>
      </c>
      <c r="F12" s="2">
        <f>ABS(RIGHT(Assessment!E14,1))</f>
        <v>2</v>
      </c>
      <c r="G12" s="2">
        <f>ABS(RIGHT(Assessment!G14,1))</f>
        <v>2</v>
      </c>
      <c r="H12" s="62">
        <f>F12*G12</f>
        <v>4</v>
      </c>
      <c r="I12" s="62">
        <f t="shared" si="1"/>
        <v>6</v>
      </c>
      <c r="J12" s="64" t="str">
        <f t="shared" si="2"/>
        <v>4/6</v>
      </c>
      <c r="K12" s="23"/>
    </row>
    <row r="13" spans="1:19" ht="14.45" customHeight="1">
      <c r="E13" t="str">
        <f>Assessment!C15</f>
        <v>Q11</v>
      </c>
      <c r="F13" s="2">
        <f>ABS(RIGHT(Assessment!E15,1))</f>
        <v>2</v>
      </c>
      <c r="G13" s="2">
        <f>ABS(RIGHT(Assessment!G15,1))</f>
        <v>2</v>
      </c>
      <c r="H13" s="62">
        <f>F13*G13</f>
        <v>4</v>
      </c>
      <c r="I13" s="62">
        <f t="shared" si="1"/>
        <v>6</v>
      </c>
      <c r="J13" s="64" t="str">
        <f t="shared" si="2"/>
        <v>4/6</v>
      </c>
      <c r="K13" s="23"/>
    </row>
    <row r="14" spans="1:19" ht="14.45" customHeight="1">
      <c r="B14" s="24"/>
      <c r="C14" s="24"/>
      <c r="D14" s="24"/>
      <c r="E14" t="str">
        <f>Assessment!C16</f>
        <v>Q12</v>
      </c>
      <c r="F14" s="2">
        <f>ABS(RIGHT(Assessment!E16,1))</f>
        <v>1</v>
      </c>
      <c r="G14" s="2">
        <f>ABS(RIGHT(Assessment!G16,1))</f>
        <v>2</v>
      </c>
      <c r="H14" s="62">
        <f t="shared" ref="H14:H16" si="5">F14*G14</f>
        <v>2</v>
      </c>
      <c r="I14" s="62">
        <f t="shared" si="1"/>
        <v>3</v>
      </c>
      <c r="J14" s="64" t="str">
        <f t="shared" si="2"/>
        <v>2/3</v>
      </c>
      <c r="K14" s="23"/>
    </row>
    <row r="15" spans="1:19" ht="14.45" customHeight="1">
      <c r="B15" s="24"/>
      <c r="C15" s="24"/>
      <c r="D15" s="24"/>
      <c r="E15" t="str">
        <f>Assessment!C17</f>
        <v>Q13</v>
      </c>
      <c r="F15" s="2">
        <f>ABS(RIGHT(Assessment!E17,1))</f>
        <v>2</v>
      </c>
      <c r="G15" s="2">
        <f>ABS(RIGHT(Assessment!G17,1))</f>
        <v>2</v>
      </c>
      <c r="H15" s="62">
        <f t="shared" si="5"/>
        <v>4</v>
      </c>
      <c r="I15" s="62">
        <f t="shared" si="1"/>
        <v>6</v>
      </c>
      <c r="J15" s="64" t="str">
        <f t="shared" si="2"/>
        <v>4/6</v>
      </c>
      <c r="K15" s="23"/>
    </row>
    <row r="16" spans="1:19" ht="14.45" customHeight="1">
      <c r="B16" s="24"/>
      <c r="C16" s="24"/>
      <c r="D16" s="24"/>
      <c r="E16" t="str">
        <f>Assessment!C18</f>
        <v>Q14</v>
      </c>
      <c r="F16" s="2">
        <f>ABS(RIGHT(Assessment!E18,1))</f>
        <v>3</v>
      </c>
      <c r="G16" s="2">
        <f>ABS(RIGHT(Assessment!G18,1))</f>
        <v>2</v>
      </c>
      <c r="H16" s="62">
        <f t="shared" si="5"/>
        <v>6</v>
      </c>
      <c r="I16" s="62">
        <f t="shared" si="1"/>
        <v>9</v>
      </c>
      <c r="J16" s="64" t="str">
        <f t="shared" si="2"/>
        <v>6/9</v>
      </c>
      <c r="K16" s="23"/>
    </row>
    <row r="17" spans="1:11" ht="14.45" customHeight="1">
      <c r="A17">
        <v>4</v>
      </c>
      <c r="B17" s="24" t="str">
        <f>Assessment!B19</f>
        <v>Collaboration &amp; Federated Governance</v>
      </c>
      <c r="C17" s="65">
        <f>L3+((SUMPRODUCT(G17:G19,F17:F19)/(3*SUM(F17:F19)))-0.33)/0.67*(1-L3)</f>
        <v>0.60199004975124382</v>
      </c>
      <c r="D17" s="64" t="str">
        <f>CONCATENATE(SUM(H17:H19),"/",SUM(I17:I19))</f>
        <v>10/15</v>
      </c>
      <c r="E17" t="str">
        <f>Assessment!C19</f>
        <v>Q15</v>
      </c>
      <c r="F17" s="2">
        <f>ABS(RIGHT(Assessment!E19,1))</f>
        <v>3</v>
      </c>
      <c r="G17" s="2">
        <f>ABS(RIGHT(Assessment!G19,1))</f>
        <v>2</v>
      </c>
      <c r="H17" s="62">
        <f>F17*G17</f>
        <v>6</v>
      </c>
      <c r="I17" s="62">
        <f t="shared" si="1"/>
        <v>9</v>
      </c>
      <c r="J17" s="64" t="str">
        <f t="shared" si="2"/>
        <v>6/9</v>
      </c>
      <c r="K17" s="23"/>
    </row>
    <row r="18" spans="1:11" ht="14.45" customHeight="1">
      <c r="B18" s="24"/>
      <c r="C18" s="24"/>
      <c r="D18" s="24"/>
      <c r="E18" t="str">
        <f>Assessment!C20</f>
        <v>Q16</v>
      </c>
      <c r="F18" s="2">
        <f>ABS(RIGHT(Assessment!E20,1))</f>
        <v>1</v>
      </c>
      <c r="G18" s="2">
        <f>ABS(RIGHT(Assessment!G20,1))</f>
        <v>2</v>
      </c>
      <c r="H18" s="62">
        <f>F18*G18</f>
        <v>2</v>
      </c>
      <c r="I18" s="62">
        <f t="shared" si="1"/>
        <v>3</v>
      </c>
      <c r="J18" s="64" t="str">
        <f t="shared" si="2"/>
        <v>2/3</v>
      </c>
      <c r="K18" s="23"/>
    </row>
    <row r="19" spans="1:11" ht="14.45" customHeight="1">
      <c r="B19" s="24"/>
      <c r="C19" s="24"/>
      <c r="D19" s="24"/>
      <c r="E19" t="str">
        <f>Assessment!C21</f>
        <v>Q17</v>
      </c>
      <c r="F19" s="2">
        <f>ABS(RIGHT(Assessment!E21,1))</f>
        <v>1</v>
      </c>
      <c r="G19" s="2">
        <f>ABS(RIGHT(Assessment!G21,1))</f>
        <v>2</v>
      </c>
      <c r="H19" s="62">
        <f t="shared" ref="H19" si="6">F19*G19</f>
        <v>2</v>
      </c>
      <c r="I19" s="62">
        <f t="shared" si="1"/>
        <v>3</v>
      </c>
      <c r="J19" s="64" t="str">
        <f t="shared" si="2"/>
        <v>2/3</v>
      </c>
      <c r="K19" s="23"/>
    </row>
    <row r="20" spans="1:11">
      <c r="B20" s="23" t="s">
        <v>112</v>
      </c>
      <c r="C20" s="64">
        <f>L3+((SUMPRODUCT(G3:G19,F3:F19)/(3*SUM(F3:F19))-0.33)/0.67*(1-L3))</f>
        <v>0.64881474978050924</v>
      </c>
      <c r="D20" s="64"/>
    </row>
    <row r="21" spans="1:11">
      <c r="J21"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4"/>
  <sheetViews>
    <sheetView showGridLines="0" tabSelected="1" workbookViewId="0">
      <selection activeCell="B13" sqref="B13:E13"/>
    </sheetView>
  </sheetViews>
  <sheetFormatPr defaultRowHeight="14.45"/>
  <cols>
    <col min="1" max="1" width="7.85546875" customWidth="1"/>
    <col min="2" max="2" width="52" customWidth="1"/>
    <col min="3" max="3" width="16.140625" customWidth="1"/>
    <col min="4" max="4" width="19.42578125" customWidth="1"/>
    <col min="5" max="5" width="14.5703125" customWidth="1"/>
  </cols>
  <sheetData>
    <row r="1" spans="2:16" ht="23.45" customHeight="1" thickBot="1"/>
    <row r="2" spans="2:16" ht="32.1" customHeight="1">
      <c r="B2" s="78" t="s">
        <v>113</v>
      </c>
      <c r="C2" s="79"/>
      <c r="D2" s="79"/>
      <c r="E2" s="79"/>
      <c r="F2" s="79"/>
      <c r="G2" s="79"/>
      <c r="H2" s="79"/>
      <c r="I2" s="79"/>
      <c r="J2" s="79"/>
      <c r="K2" s="79"/>
      <c r="L2" s="79"/>
      <c r="M2" s="79"/>
      <c r="N2" s="79"/>
      <c r="O2" s="79"/>
      <c r="P2" s="80"/>
    </row>
    <row r="3" spans="2:16" ht="18" customHeight="1" thickBot="1">
      <c r="B3" s="29"/>
      <c r="P3" s="30"/>
    </row>
    <row r="4" spans="2:16" ht="41.1" customHeight="1" thickBot="1">
      <c r="B4" s="32" t="s">
        <v>29</v>
      </c>
      <c r="C4" s="33" t="s">
        <v>114</v>
      </c>
      <c r="D4" s="33" t="s">
        <v>115</v>
      </c>
      <c r="E4" s="34" t="s">
        <v>116</v>
      </c>
      <c r="P4" s="30"/>
    </row>
    <row r="5" spans="2:16" ht="15.6">
      <c r="B5" s="25" t="str" cm="1">
        <f t="array" ref="B5:B8">_xlfn._xlws.FILTER('Code(to hide)'!B3:B19,'Code(to hide)'!B3:B19&lt;&gt;"","")</f>
        <v>AI Solution Ownership &amp; Accountability</v>
      </c>
      <c r="C5" s="77" cm="1">
        <f t="array" ref="C5:C8">_xlfn._xlws.FILTER('Code(to hide)'!C3:C19,'Code(to hide)'!C3:C19&lt;&gt;"","")</f>
        <v>0.73466003316749595</v>
      </c>
      <c r="D5" s="31" t="str" cm="1">
        <f t="array" ref="D5:D8">_xlfn._xlws.FILTER('Code(to hide)'!D3:D19,'Code(to hide)'!D3:D19&lt;&gt;"","")</f>
        <v>28/36</v>
      </c>
      <c r="E5" s="9" t="str">
        <f ca="1">IF(MIN('Code(to hide)'!C$3:'Code(to hide)'!C$19)&lt;0.5, "YES", "NO")</f>
        <v>NO</v>
      </c>
      <c r="P5" s="30"/>
    </row>
    <row r="6" spans="2:16" ht="15.6">
      <c r="B6" s="17" t="str">
        <v>Governance &amp; Responsible AI</v>
      </c>
      <c r="C6" s="77">
        <v>0.60199004975124382</v>
      </c>
      <c r="D6" s="31" t="str">
        <v>14/21</v>
      </c>
      <c r="E6" s="9" t="str">
        <f ca="1">IF(MIN('Code(to hide)'!C$3:'Code(to hide)'!C$19)&lt;0.5, "YES", "NO")</f>
        <v>NO</v>
      </c>
      <c r="P6" s="30"/>
    </row>
    <row r="7" spans="2:16" ht="15.6">
      <c r="B7" s="17" t="str">
        <v>Technical &amp; Platform Readiness</v>
      </c>
      <c r="C7" s="77">
        <v>0.60199004975124382</v>
      </c>
      <c r="D7" s="31" t="str">
        <v>20/30</v>
      </c>
      <c r="E7" s="9" t="str">
        <f ca="1">IF(MIN('Code(to hide)'!C$3:'Code(to hide)'!C$19)&lt;0.5, "YES", "NO")</f>
        <v>NO</v>
      </c>
      <c r="P7" s="30"/>
    </row>
    <row r="8" spans="2:16" ht="15.6">
      <c r="B8" s="17" t="str">
        <v>Collaboration &amp; Federated Governance</v>
      </c>
      <c r="C8" s="77">
        <v>0.60199004975124382</v>
      </c>
      <c r="D8" s="31" t="str">
        <v>10/15</v>
      </c>
      <c r="E8" s="9" t="str">
        <f ca="1">IF(MIN('Code(to hide)'!C$3:'Code(to hide)'!C$19)&lt;0.5, "YES", "NO")</f>
        <v>NO</v>
      </c>
      <c r="P8" s="30"/>
    </row>
    <row r="9" spans="2:16" ht="15" thickBot="1">
      <c r="B9" s="27"/>
      <c r="C9" s="21"/>
      <c r="D9" s="21"/>
      <c r="E9" s="28"/>
      <c r="P9" s="30"/>
    </row>
    <row r="10" spans="2:16" ht="15.6">
      <c r="B10" s="18" t="s">
        <v>117</v>
      </c>
      <c r="C10" s="22"/>
      <c r="D10" s="81">
        <f>'Code(to hide)'!C20</f>
        <v>0.64881474978050924</v>
      </c>
      <c r="E10" s="26"/>
      <c r="P10" s="30"/>
    </row>
    <row r="11" spans="2:16" ht="15" thickBot="1">
      <c r="B11" s="19" t="s">
        <v>118</v>
      </c>
      <c r="C11" s="88" t="str">
        <f>IF(D10&gt;=0.79,"GREEN - Ready for owning a Self-Serve Domain", IF(D10&gt;=0.6,"YELLOW - Needs Enablement Partnering", "RED - Not Ready to own a Self-served Domain"))</f>
        <v>YELLOW - Needs Enablement Partnering</v>
      </c>
      <c r="D11" s="88"/>
      <c r="E11" s="89"/>
      <c r="P11" s="30"/>
    </row>
    <row r="12" spans="2:16" ht="36.950000000000003" customHeight="1">
      <c r="B12" s="86" t="s">
        <v>119</v>
      </c>
      <c r="C12" s="87"/>
      <c r="D12" s="87"/>
      <c r="E12" s="87"/>
      <c r="P12" s="30"/>
    </row>
    <row r="13" spans="2:16" ht="42.6" customHeight="1">
      <c r="B13" s="86" t="s">
        <v>21</v>
      </c>
      <c r="C13" s="87"/>
      <c r="D13" s="87"/>
      <c r="E13" s="87"/>
      <c r="P13" s="30"/>
    </row>
    <row r="14" spans="2:16" ht="71.099999999999994" customHeight="1" thickBot="1">
      <c r="B14" s="90" t="s">
        <v>22</v>
      </c>
      <c r="C14" s="91"/>
      <c r="D14" s="91"/>
      <c r="E14" s="91"/>
      <c r="F14" s="21"/>
      <c r="G14" s="21"/>
      <c r="H14" s="21"/>
      <c r="I14" s="21"/>
      <c r="J14" s="21"/>
      <c r="K14" s="21"/>
      <c r="L14" s="21"/>
      <c r="M14" s="21"/>
      <c r="N14" s="21"/>
      <c r="O14" s="21"/>
      <c r="P14" s="28"/>
    </row>
  </sheetData>
  <sheetProtection selectLockedCells="1" selectUnlockedCells="1"/>
  <mergeCells count="4">
    <mergeCell ref="C11:E11"/>
    <mergeCell ref="B14:E14"/>
    <mergeCell ref="B13:E13"/>
    <mergeCell ref="B12:E12"/>
  </mergeCells>
  <conditionalFormatting sqref="C11">
    <cfRule type="cellIs" dxfId="6" priority="6" operator="equal">
      <formula>"GREEN - Ready for owning a Self-Serve Domain"</formula>
    </cfRule>
    <cfRule type="cellIs" dxfId="5" priority="7" operator="equal">
      <formula>"YELLOW - Needs Enablement Partnering"</formula>
    </cfRule>
    <cfRule type="cellIs" dxfId="4" priority="8" operator="equal">
      <formula>"RED - Not Ready to own a Self-served Domain"</formula>
    </cfRule>
  </conditionalFormatting>
  <conditionalFormatting sqref="D10">
    <cfRule type="cellIs" dxfId="3" priority="3" operator="greaterThanOrEqual">
      <formula>0.8</formula>
    </cfRule>
    <cfRule type="cellIs" dxfId="2" priority="4" operator="between">
      <formula>0.6</formula>
      <formula>0.79</formula>
    </cfRule>
    <cfRule type="cellIs" dxfId="1" priority="5" operator="lessThan">
      <formula>0.6</formula>
    </cfRule>
  </conditionalFormatting>
  <conditionalFormatting sqref="E5:E8">
    <cfRule type="containsText" dxfId="0" priority="1" operator="containsText" text="YES">
      <formula>NOT(ISERROR(SEARCH("YES",E5)))</formula>
    </cfRule>
  </conditionalFormatting>
  <pageMargins left="0.75" right="0.75" top="1" bottom="1" header="0.5" footer="0.5"/>
  <pageSetup orientation="portrait" r:id="rId1"/>
  <headerFooter>
    <oddHeader>&amp;R&amp;"Aptos"&amp;10&amp;K000000 Category/Catégorie: Non-Sensitive/Non-Délicat&amp;1#_x000D_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d5953541-9517-43c8-9aab-99ea89c11ef5">F5ANCTD76YXS-503907005-48</_dlc_DocId>
    <_dlc_DocIdUrl xmlns="d5953541-9517-43c8-9aab-99ea89c11ef5">
      <Url>https://bankofcanada.sharepoint.com/sites/PR_0082720/_layouts/15/DocIdRedir.aspx?ID=F5ANCTD76YXS-503907005-48</Url>
      <Description>F5ANCTD76YXS-503907005-48</Description>
    </_dlc_DocIdUrl>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4B0E30D7E12C934DACDEAB02D8C73F35" ma:contentTypeVersion="4" ma:contentTypeDescription="Create a new document." ma:contentTypeScope="" ma:versionID="58b728bbe38e7d372c1b472fd35b1348">
  <xsd:schema xmlns:xsd="http://www.w3.org/2001/XMLSchema" xmlns:xs="http://www.w3.org/2001/XMLSchema" xmlns:p="http://schemas.microsoft.com/office/2006/metadata/properties" xmlns:ns2="d5953541-9517-43c8-9aab-99ea89c11ef5" xmlns:ns3="87902572-a024-4f90-85fc-bf2a4250d020" targetNamespace="http://schemas.microsoft.com/office/2006/metadata/properties" ma:root="true" ma:fieldsID="cdfac10325619f62b35734549dfbed46" ns2:_="" ns3:_="">
    <xsd:import namespace="d5953541-9517-43c8-9aab-99ea89c11ef5"/>
    <xsd:import namespace="87902572-a024-4f90-85fc-bf2a4250d020"/>
    <xsd:element name="properties">
      <xsd:complexType>
        <xsd:sequence>
          <xsd:element name="documentManagement">
            <xsd:complexType>
              <xsd:all>
                <xsd:element ref="ns2:_dlc_DocId" minOccurs="0"/>
                <xsd:element ref="ns2:_dlc_DocIdUrl" minOccurs="0"/>
                <xsd:element ref="ns2:_dlc_DocIdPersistId" minOccurs="0"/>
                <xsd:element ref="ns3:MediaServiceBillingMetadata"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53541-9517-43c8-9aab-99ea89c11ef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7902572-a024-4f90-85fc-bf2a4250d020" elementFormDefault="qualified">
    <xsd:import namespace="http://schemas.microsoft.com/office/2006/documentManagement/types"/>
    <xsd:import namespace="http://schemas.microsoft.com/office/infopath/2007/PartnerControls"/>
    <xsd:element name="MediaServiceBillingMetadata" ma:index="11" nillable="true" ma:displayName="MediaServiceBillingMetadata" ma:hidden="true" ma:internalName="MediaServiceBillingMetadata" ma:readOnly="tru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8E08B6-53EA-4B24-B94E-0A1DFA19FDAF}"/>
</file>

<file path=customXml/itemProps2.xml><?xml version="1.0" encoding="utf-8"?>
<ds:datastoreItem xmlns:ds="http://schemas.openxmlformats.org/officeDocument/2006/customXml" ds:itemID="{1B5068FC-7BAA-41BA-9D49-4C9390F6E8B4}"/>
</file>

<file path=customXml/itemProps3.xml><?xml version="1.0" encoding="utf-8"?>
<ds:datastoreItem xmlns:ds="http://schemas.openxmlformats.org/officeDocument/2006/customXml" ds:itemID="{9C70E36C-FC11-451D-BEF3-A5AB23F79BFF}"/>
</file>

<file path=customXml/itemProps4.xml><?xml version="1.0" encoding="utf-8"?>
<ds:datastoreItem xmlns:ds="http://schemas.openxmlformats.org/officeDocument/2006/customXml" ds:itemID="{C926D27D-5614-4CF0-B9E8-690362B32A2E}"/>
</file>

<file path=customXml/itemProps5.xml><?xml version="1.0" encoding="utf-8"?>
<ds:datastoreItem xmlns:ds="http://schemas.openxmlformats.org/officeDocument/2006/customXml" ds:itemID="{0AB71805-DE34-413C-9381-D2D3C8D89B1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Nathalie Greensides</cp:lastModifiedBy>
  <cp:revision/>
  <dcterms:created xsi:type="dcterms:W3CDTF">2025-11-14T14:51:26Z</dcterms:created>
  <dcterms:modified xsi:type="dcterms:W3CDTF">2026-05-08T22:22:13Z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acc78-dcc9-4733-835b-33704aeb5fb9_Enabled">
    <vt:lpwstr>true</vt:lpwstr>
  </property>
  <property fmtid="{D5CDD505-2E9C-101B-9397-08002B2CF9AE}" pid="3" name="MSIP_Label_aebacc78-dcc9-4733-835b-33704aeb5fb9_SetDate">
    <vt:lpwstr>2025-11-14T15:01:40Z</vt:lpwstr>
  </property>
  <property fmtid="{D5CDD505-2E9C-101B-9397-08002B2CF9AE}" pid="4" name="MSIP_Label_aebacc78-dcc9-4733-835b-33704aeb5fb9_Method">
    <vt:lpwstr>Privileged</vt:lpwstr>
  </property>
  <property fmtid="{D5CDD505-2E9C-101B-9397-08002B2CF9AE}" pid="5" name="MSIP_Label_aebacc78-dcc9-4733-835b-33704aeb5fb9_Name">
    <vt:lpwstr>Non-Sensitive - Non-Délicat</vt:lpwstr>
  </property>
  <property fmtid="{D5CDD505-2E9C-101B-9397-08002B2CF9AE}" pid="6" name="MSIP_Label_aebacc78-dcc9-4733-835b-33704aeb5fb9_SiteId">
    <vt:lpwstr>164f988b-a2f4-4584-aeaa-21bd4a0234bc</vt:lpwstr>
  </property>
  <property fmtid="{D5CDD505-2E9C-101B-9397-08002B2CF9AE}" pid="7" name="MSIP_Label_aebacc78-dcc9-4733-835b-33704aeb5fb9_ActionId">
    <vt:lpwstr>f05ca65f-c284-4c03-9478-ed3557d175b1</vt:lpwstr>
  </property>
  <property fmtid="{D5CDD505-2E9C-101B-9397-08002B2CF9AE}" pid="8" name="MSIP_Label_aebacc78-dcc9-4733-835b-33704aeb5fb9_ContentBits">
    <vt:lpwstr>1</vt:lpwstr>
  </property>
  <property fmtid="{D5CDD505-2E9C-101B-9397-08002B2CF9AE}" pid="9" name="MSIP_Label_aebacc78-dcc9-4733-835b-33704aeb5fb9_Tag">
    <vt:lpwstr>10, 0, 1, 1</vt:lpwstr>
  </property>
  <property fmtid="{D5CDD505-2E9C-101B-9397-08002B2CF9AE}" pid="10" name="ContentTypeId">
    <vt:lpwstr>0x0101004B0E30D7E12C934DACDEAB02D8C73F35</vt:lpwstr>
  </property>
  <property fmtid="{D5CDD505-2E9C-101B-9397-08002B2CF9AE}" pid="11" name="TaxKeyword">
    <vt:lpwstr/>
  </property>
  <property fmtid="{D5CDD505-2E9C-101B-9397-08002B2CF9AE}" pid="12" name="MediaServiceImageTags">
    <vt:lpwstr/>
  </property>
  <property fmtid="{D5CDD505-2E9C-101B-9397-08002B2CF9AE}" pid="13" name="BoC_x0020_Project_x0020_Name">
    <vt:lpwstr>99;#Microsoft Power Platform|f0064e01-065e-4328-b616-96ffe902a7a2</vt:lpwstr>
  </property>
  <property fmtid="{D5CDD505-2E9C-101B-9397-08002B2CF9AE}" pid="14" name="lcf76f155ced4ddcb4097134ff3c332f">
    <vt:lpwstr/>
  </property>
  <property fmtid="{D5CDD505-2E9C-101B-9397-08002B2CF9AE}" pid="15" name="Record Series">
    <vt:lpwstr>199;#TEC-480-01 - Technological Programs and Projects|cdb3027e-e39d-42b9-993d-3b312eb05ce7</vt:lpwstr>
  </property>
  <property fmtid="{D5CDD505-2E9C-101B-9397-08002B2CF9AE}" pid="16" name="BoC_x0020_Department">
    <vt:lpwstr>84;#Information Technology Services|8dff283c-4883-4b98-a0c3-2e2b8e6fda4e</vt:lpwstr>
  </property>
  <property fmtid="{D5CDD505-2E9C-101B-9397-08002B2CF9AE}" pid="17" name="Record_x0020_Series">
    <vt:lpwstr>199;#TEC-480-01 - Technological Programs and Projects|cdb3027e-e39d-42b9-993d-3b312eb05ce7</vt:lpwstr>
  </property>
  <property fmtid="{D5CDD505-2E9C-101B-9397-08002B2CF9AE}" pid="18" name="BoC Project Name">
    <vt:lpwstr>99;#Microsoft Power Platform|f0064e01-065e-4328-b616-96ffe902a7a2</vt:lpwstr>
  </property>
  <property fmtid="{D5CDD505-2E9C-101B-9397-08002B2CF9AE}" pid="19" name="BoC Department">
    <vt:lpwstr>84;#Information Technology Services|8dff283c-4883-4b98-a0c3-2e2b8e6fda4e</vt:lpwstr>
  </property>
  <property fmtid="{D5CDD505-2E9C-101B-9397-08002B2CF9AE}" pid="20" name="_dlc_DocIdItemGuid">
    <vt:lpwstr>0dced6bd-8516-4670-8e44-f0464a756d31</vt:lpwstr>
  </property>
</Properties>
</file>